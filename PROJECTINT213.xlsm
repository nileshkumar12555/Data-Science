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xml" ContentType="application/vnd.ms-excel.slicer+xml"/>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3.xml" ContentType="application/vnd.ms-excel.slicer+xml"/>
  <Override PartName="/xl/timelines/timeline3.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timelines/timeline4.xml" ContentType="application/vnd.ms-excel.timelin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be-tech\SEM 5\INT217\PROJECT\"/>
    </mc:Choice>
  </mc:AlternateContent>
  <xr:revisionPtr revIDLastSave="0" documentId="13_ncr:1_{728463F8-A6B5-442C-B32D-FC0C1CCF7BB2}" xr6:coauthVersionLast="47" xr6:coauthVersionMax="47" xr10:uidLastSave="{00000000-0000-0000-0000-000000000000}"/>
  <bookViews>
    <workbookView xWindow="-110" yWindow="-110" windowWidth="19420" windowHeight="10300" tabRatio="825" activeTab="4" xr2:uid="{A3CC9B03-6E50-4832-B50B-19DB04D305CF}"/>
  </bookViews>
  <sheets>
    <sheet name="ABOUT" sheetId="8" r:id="rId1"/>
    <sheet name="SALEMAN" sheetId="7" r:id="rId2"/>
    <sheet name="PRODUCT" sheetId="5" r:id="rId3"/>
    <sheet name="DASHBOARD" sheetId="1" r:id="rId4"/>
    <sheet name="Home" sheetId="9" r:id="rId5"/>
    <sheet name="Sheet3" sheetId="3" r:id="rId6"/>
    <sheet name="Sheet2" sheetId="2" r:id="rId7"/>
    <sheet name="FROM Registration" sheetId="13" r:id="rId8"/>
    <sheet name="Sheet1" sheetId="14" r:id="rId9"/>
    <sheet name="DATABASE FROM" sheetId="17" r:id="rId10"/>
  </sheets>
  <definedNames>
    <definedName name="NativeTimeline_Date">#N/A</definedName>
    <definedName name="Slicer_Day">#N/A</definedName>
    <definedName name="Slicer_Item">#N/A</definedName>
    <definedName name="Slicer_Month">#N/A</definedName>
    <definedName name="Slicer_Region">#N/A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8" i="13" l="1"/>
  <c r="G2" i="14"/>
  <c r="H2" i="14"/>
  <c r="E2" i="14"/>
  <c r="D2" i="14"/>
  <c r="C2" i="14"/>
  <c r="B2" i="14"/>
  <c r="A2" i="14"/>
  <c r="F2" i="14"/>
  <c r="H24" i="13"/>
  <c r="G24" i="13"/>
  <c r="H22" i="13"/>
  <c r="G22" i="13"/>
  <c r="H20" i="13"/>
  <c r="G20" i="13"/>
  <c r="H18" i="13"/>
  <c r="H16" i="13"/>
  <c r="G16" i="13"/>
  <c r="H14" i="13"/>
  <c r="G14" i="13"/>
  <c r="H12" i="13"/>
  <c r="G12" i="13"/>
  <c r="H10" i="13"/>
  <c r="G10" i="13"/>
  <c r="C62" i="3" l="1"/>
  <c r="B14" i="3"/>
  <c r="B11" i="3"/>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2" i="2"/>
  <c r="N1037" i="2" l="1"/>
  <c r="N1036" i="2"/>
  <c r="N1035" i="2"/>
  <c r="N1034" i="2"/>
  <c r="N1033" i="2"/>
  <c r="N1032" i="2"/>
  <c r="N1031" i="2"/>
  <c r="N1030" i="2"/>
  <c r="N1029" i="2"/>
  <c r="N1028" i="2"/>
  <c r="N1027" i="2"/>
  <c r="N1026" i="2"/>
  <c r="N1025" i="2"/>
  <c r="N1024" i="2"/>
  <c r="N1023" i="2"/>
  <c r="N1022" i="2"/>
  <c r="N1021" i="2"/>
  <c r="N1020" i="2"/>
  <c r="N1019" i="2"/>
  <c r="N1018" i="2"/>
  <c r="N1017" i="2"/>
  <c r="N1016" i="2"/>
  <c r="N1015" i="2"/>
  <c r="N1014" i="2"/>
  <c r="N1013" i="2"/>
  <c r="N1012" i="2"/>
  <c r="N1011" i="2"/>
  <c r="N1010" i="2"/>
  <c r="N1009" i="2"/>
  <c r="N1008" i="2"/>
  <c r="N1007" i="2"/>
  <c r="N1006" i="2"/>
  <c r="N1005" i="2"/>
  <c r="N1004" i="2"/>
  <c r="N1003" i="2"/>
  <c r="N1002" i="2"/>
  <c r="N1001" i="2"/>
  <c r="N1000" i="2"/>
  <c r="N999" i="2"/>
  <c r="N998" i="2"/>
  <c r="N997" i="2"/>
  <c r="N996" i="2"/>
  <c r="N995" i="2"/>
  <c r="N994" i="2"/>
  <c r="N993" i="2"/>
  <c r="N992" i="2"/>
  <c r="N991" i="2"/>
  <c r="N990" i="2"/>
  <c r="N989" i="2"/>
  <c r="N988" i="2"/>
  <c r="N987" i="2"/>
  <c r="N986" i="2"/>
  <c r="N985" i="2"/>
  <c r="N984" i="2"/>
  <c r="N983" i="2"/>
  <c r="N982" i="2"/>
  <c r="N981" i="2"/>
  <c r="N980" i="2"/>
  <c r="N979" i="2"/>
  <c r="N978" i="2"/>
  <c r="N977" i="2"/>
  <c r="N976" i="2"/>
  <c r="N975" i="2"/>
  <c r="N974" i="2"/>
  <c r="N973" i="2"/>
  <c r="N972" i="2"/>
  <c r="N971" i="2"/>
  <c r="N970" i="2"/>
  <c r="N969" i="2"/>
  <c r="N968" i="2"/>
  <c r="N967" i="2"/>
  <c r="N966" i="2"/>
  <c r="N965" i="2"/>
  <c r="N964" i="2"/>
  <c r="N963" i="2"/>
  <c r="N962" i="2"/>
  <c r="N961" i="2"/>
  <c r="N960" i="2"/>
  <c r="N959" i="2"/>
  <c r="N958" i="2"/>
  <c r="N957" i="2"/>
  <c r="N956" i="2"/>
  <c r="N955" i="2"/>
  <c r="N954" i="2"/>
  <c r="N953" i="2"/>
  <c r="N952" i="2"/>
  <c r="N951" i="2"/>
  <c r="N950" i="2"/>
  <c r="N949" i="2"/>
  <c r="N948" i="2"/>
  <c r="N947" i="2"/>
  <c r="N946" i="2"/>
  <c r="N945" i="2"/>
  <c r="N944" i="2"/>
  <c r="N943" i="2"/>
  <c r="N942" i="2"/>
  <c r="N941" i="2"/>
  <c r="N940" i="2"/>
  <c r="N939" i="2"/>
  <c r="N938" i="2"/>
  <c r="N937" i="2"/>
  <c r="N936" i="2"/>
  <c r="N935" i="2"/>
  <c r="N934" i="2"/>
  <c r="N933" i="2"/>
  <c r="N932" i="2"/>
  <c r="N931" i="2"/>
  <c r="N930" i="2"/>
  <c r="N929" i="2"/>
  <c r="N928" i="2"/>
  <c r="N927" i="2"/>
  <c r="N926" i="2"/>
  <c r="N925" i="2"/>
  <c r="N924" i="2"/>
  <c r="N923" i="2"/>
  <c r="N922" i="2"/>
  <c r="N921" i="2"/>
  <c r="N920" i="2"/>
  <c r="N919" i="2"/>
  <c r="N918" i="2"/>
  <c r="N917" i="2"/>
  <c r="N916" i="2"/>
  <c r="N915" i="2"/>
  <c r="N914" i="2"/>
  <c r="N913" i="2"/>
  <c r="N912" i="2"/>
  <c r="N911" i="2"/>
  <c r="N910" i="2"/>
  <c r="N909" i="2"/>
  <c r="N908" i="2"/>
  <c r="N907" i="2"/>
  <c r="N906" i="2"/>
  <c r="N905" i="2"/>
  <c r="N904" i="2"/>
  <c r="N903" i="2"/>
  <c r="N902" i="2"/>
  <c r="N901" i="2"/>
  <c r="N900" i="2"/>
  <c r="N899" i="2"/>
  <c r="N898" i="2"/>
  <c r="N897" i="2"/>
  <c r="N896" i="2"/>
  <c r="N895" i="2"/>
  <c r="N894" i="2"/>
  <c r="N893" i="2"/>
  <c r="N892" i="2"/>
  <c r="N891" i="2"/>
  <c r="N890" i="2"/>
  <c r="N889" i="2"/>
  <c r="N888" i="2"/>
  <c r="N887" i="2"/>
  <c r="N886" i="2"/>
  <c r="N885" i="2"/>
  <c r="N884" i="2"/>
  <c r="N883" i="2"/>
  <c r="N882" i="2"/>
  <c r="N881" i="2"/>
  <c r="N880" i="2"/>
  <c r="N879" i="2"/>
  <c r="N878" i="2"/>
  <c r="N877" i="2"/>
  <c r="N876" i="2"/>
  <c r="N875" i="2"/>
  <c r="N874" i="2"/>
  <c r="N873" i="2"/>
  <c r="N872" i="2"/>
  <c r="N871" i="2"/>
  <c r="N870" i="2"/>
  <c r="N869" i="2"/>
  <c r="N868" i="2"/>
  <c r="N867" i="2"/>
  <c r="N866" i="2"/>
  <c r="N865" i="2"/>
  <c r="N864" i="2"/>
  <c r="N863" i="2"/>
  <c r="N862" i="2"/>
  <c r="N861" i="2"/>
  <c r="N860" i="2"/>
  <c r="N859" i="2"/>
  <c r="N858" i="2"/>
  <c r="N857" i="2"/>
  <c r="N856" i="2"/>
  <c r="N855" i="2"/>
  <c r="N854" i="2"/>
  <c r="N853" i="2"/>
  <c r="N852" i="2"/>
  <c r="N851" i="2"/>
  <c r="N850" i="2"/>
  <c r="N849" i="2"/>
  <c r="N848" i="2"/>
  <c r="N847" i="2"/>
  <c r="N846" i="2"/>
  <c r="N845" i="2"/>
  <c r="N844" i="2"/>
  <c r="N843" i="2"/>
  <c r="N842" i="2"/>
  <c r="N841" i="2"/>
  <c r="N840" i="2"/>
  <c r="N839" i="2"/>
  <c r="N838" i="2"/>
  <c r="N837" i="2"/>
  <c r="N836" i="2"/>
  <c r="N835" i="2"/>
  <c r="N834" i="2"/>
  <c r="N833" i="2"/>
  <c r="N832" i="2"/>
  <c r="N831" i="2"/>
  <c r="N830" i="2"/>
  <c r="N829" i="2"/>
  <c r="N828" i="2"/>
  <c r="N827" i="2"/>
  <c r="N826" i="2"/>
  <c r="N825" i="2"/>
  <c r="N824" i="2"/>
  <c r="N823" i="2"/>
  <c r="N822" i="2"/>
  <c r="N821" i="2"/>
  <c r="N820" i="2"/>
  <c r="N819" i="2"/>
  <c r="N818" i="2"/>
  <c r="N817" i="2"/>
  <c r="N816" i="2"/>
  <c r="N815" i="2"/>
  <c r="N814" i="2"/>
  <c r="N813" i="2"/>
  <c r="N812" i="2"/>
  <c r="N811" i="2"/>
  <c r="N810" i="2"/>
  <c r="N809" i="2"/>
  <c r="N808" i="2"/>
  <c r="N807" i="2"/>
  <c r="N806" i="2"/>
  <c r="N805" i="2"/>
  <c r="N804" i="2"/>
  <c r="N803" i="2"/>
  <c r="N802" i="2"/>
  <c r="N801" i="2"/>
  <c r="N800" i="2"/>
  <c r="N799" i="2"/>
  <c r="N798" i="2"/>
  <c r="N797" i="2"/>
  <c r="N796" i="2"/>
  <c r="N795" i="2"/>
  <c r="N794" i="2"/>
  <c r="N793" i="2"/>
  <c r="N792" i="2"/>
  <c r="N791" i="2"/>
  <c r="N790" i="2"/>
  <c r="N789" i="2"/>
  <c r="N788" i="2"/>
  <c r="N787" i="2"/>
  <c r="N786" i="2"/>
  <c r="N785" i="2"/>
  <c r="N784" i="2"/>
  <c r="N783" i="2"/>
  <c r="N782" i="2"/>
  <c r="N781" i="2"/>
  <c r="N780" i="2"/>
  <c r="N779" i="2"/>
  <c r="N778" i="2"/>
  <c r="N777" i="2"/>
  <c r="N776" i="2"/>
  <c r="N775" i="2"/>
  <c r="N774" i="2"/>
  <c r="N773" i="2"/>
  <c r="N772" i="2"/>
  <c r="N771" i="2"/>
  <c r="N770" i="2"/>
  <c r="N769" i="2"/>
  <c r="N768" i="2"/>
  <c r="N767" i="2"/>
  <c r="N766" i="2"/>
  <c r="N765" i="2"/>
  <c r="N764" i="2"/>
  <c r="N763" i="2"/>
  <c r="N762" i="2"/>
  <c r="N761" i="2"/>
  <c r="N760" i="2"/>
  <c r="N759" i="2"/>
  <c r="N758" i="2"/>
  <c r="N757" i="2"/>
  <c r="N756" i="2"/>
  <c r="N755" i="2"/>
  <c r="N754" i="2"/>
  <c r="N753" i="2"/>
  <c r="N752" i="2"/>
  <c r="N751" i="2"/>
  <c r="N750" i="2"/>
  <c r="N749" i="2"/>
  <c r="N748" i="2"/>
  <c r="N747" i="2"/>
  <c r="N746" i="2"/>
  <c r="N745" i="2"/>
  <c r="N744" i="2"/>
  <c r="N743" i="2"/>
  <c r="N742" i="2"/>
  <c r="N741" i="2"/>
  <c r="N740" i="2"/>
  <c r="N739" i="2"/>
  <c r="N738" i="2"/>
  <c r="N737" i="2"/>
  <c r="N736" i="2"/>
  <c r="N735" i="2"/>
  <c r="N734" i="2"/>
  <c r="N733" i="2"/>
  <c r="N732" i="2"/>
  <c r="N731" i="2"/>
  <c r="N730" i="2"/>
  <c r="N729" i="2"/>
  <c r="N728" i="2"/>
  <c r="N727" i="2"/>
  <c r="N726" i="2"/>
  <c r="N725" i="2"/>
  <c r="N724" i="2"/>
  <c r="N723" i="2"/>
  <c r="N722" i="2"/>
  <c r="N721" i="2"/>
  <c r="N720" i="2"/>
  <c r="N719" i="2"/>
  <c r="N718" i="2"/>
  <c r="N717" i="2"/>
  <c r="N716" i="2"/>
  <c r="N715" i="2"/>
  <c r="N714" i="2"/>
  <c r="N713" i="2"/>
  <c r="N712" i="2"/>
  <c r="N711" i="2"/>
  <c r="N710" i="2"/>
  <c r="N709" i="2"/>
  <c r="N708" i="2"/>
  <c r="N707" i="2"/>
  <c r="N706" i="2"/>
  <c r="N705" i="2"/>
  <c r="N704" i="2"/>
  <c r="N703" i="2"/>
  <c r="N702" i="2"/>
  <c r="N701" i="2"/>
  <c r="N700" i="2"/>
  <c r="N699" i="2"/>
  <c r="N698" i="2"/>
  <c r="N697" i="2"/>
  <c r="N696" i="2"/>
  <c r="N695" i="2"/>
  <c r="N694" i="2"/>
  <c r="N693" i="2"/>
  <c r="N692" i="2"/>
  <c r="N691" i="2"/>
  <c r="N690" i="2"/>
  <c r="N689" i="2"/>
  <c r="N688" i="2"/>
  <c r="N687" i="2"/>
  <c r="N686" i="2"/>
  <c r="N685" i="2"/>
  <c r="N684" i="2"/>
  <c r="N683" i="2"/>
  <c r="N682" i="2"/>
  <c r="N681" i="2"/>
  <c r="N680" i="2"/>
  <c r="N679" i="2"/>
  <c r="N678" i="2"/>
  <c r="N677" i="2"/>
  <c r="N676" i="2"/>
  <c r="N675" i="2"/>
  <c r="N674" i="2"/>
  <c r="N673" i="2"/>
  <c r="N672" i="2"/>
  <c r="N671" i="2"/>
  <c r="N670" i="2"/>
  <c r="N669" i="2"/>
  <c r="N668" i="2"/>
  <c r="N667" i="2"/>
  <c r="N666" i="2"/>
  <c r="N665" i="2"/>
  <c r="N664" i="2"/>
  <c r="N663" i="2"/>
  <c r="N662" i="2"/>
  <c r="N661" i="2"/>
  <c r="N660" i="2"/>
  <c r="N659" i="2"/>
  <c r="N658" i="2"/>
  <c r="N657" i="2"/>
  <c r="N656" i="2"/>
  <c r="N655" i="2"/>
  <c r="N654" i="2"/>
  <c r="N653" i="2"/>
  <c r="N652" i="2"/>
  <c r="N651" i="2"/>
  <c r="N650" i="2"/>
  <c r="N649" i="2"/>
  <c r="N648" i="2"/>
  <c r="N647" i="2"/>
  <c r="N646" i="2"/>
  <c r="N645" i="2"/>
  <c r="N644" i="2"/>
  <c r="N643" i="2"/>
  <c r="N642" i="2"/>
  <c r="N641" i="2"/>
  <c r="N640" i="2"/>
  <c r="N639" i="2"/>
  <c r="N638" i="2"/>
  <c r="N637" i="2"/>
  <c r="N636" i="2"/>
  <c r="N635" i="2"/>
  <c r="N634" i="2"/>
  <c r="N633" i="2"/>
  <c r="N632" i="2"/>
  <c r="N631" i="2"/>
  <c r="N630" i="2"/>
  <c r="N629" i="2"/>
  <c r="N628" i="2"/>
  <c r="N627" i="2"/>
  <c r="N626" i="2"/>
  <c r="N625" i="2"/>
  <c r="N624" i="2"/>
  <c r="N623" i="2"/>
  <c r="N622" i="2"/>
  <c r="N621" i="2"/>
  <c r="N620" i="2"/>
  <c r="N619" i="2"/>
  <c r="N618" i="2"/>
  <c r="N617" i="2"/>
  <c r="N616" i="2"/>
  <c r="N615" i="2"/>
  <c r="N614" i="2"/>
  <c r="N613" i="2"/>
  <c r="N612" i="2"/>
  <c r="N611" i="2"/>
  <c r="N610" i="2"/>
  <c r="N609" i="2"/>
  <c r="N608" i="2"/>
  <c r="N607" i="2"/>
  <c r="N606" i="2"/>
  <c r="N605" i="2"/>
  <c r="N604" i="2"/>
  <c r="N603" i="2"/>
  <c r="N602" i="2"/>
  <c r="N601" i="2"/>
  <c r="N600" i="2"/>
  <c r="N599" i="2"/>
  <c r="N598" i="2"/>
  <c r="N597" i="2"/>
  <c r="N596" i="2"/>
  <c r="N595" i="2"/>
  <c r="N594" i="2"/>
  <c r="N593" i="2"/>
  <c r="N592" i="2"/>
  <c r="N591" i="2"/>
  <c r="N590" i="2"/>
  <c r="N589" i="2"/>
  <c r="N588" i="2"/>
  <c r="N587" i="2"/>
  <c r="N586" i="2"/>
  <c r="N585" i="2"/>
  <c r="N584" i="2"/>
  <c r="N583" i="2"/>
  <c r="N582" i="2"/>
  <c r="N581" i="2"/>
  <c r="N580" i="2"/>
  <c r="N579" i="2"/>
  <c r="N578" i="2"/>
  <c r="N577" i="2"/>
  <c r="N576" i="2"/>
  <c r="N575" i="2"/>
  <c r="N574" i="2"/>
  <c r="N573" i="2"/>
  <c r="N572" i="2"/>
  <c r="N571" i="2"/>
  <c r="N570" i="2"/>
  <c r="N569" i="2"/>
  <c r="N568" i="2"/>
  <c r="N567" i="2"/>
  <c r="N566" i="2"/>
  <c r="N565" i="2"/>
  <c r="N564" i="2"/>
  <c r="N563" i="2"/>
  <c r="N562" i="2"/>
  <c r="N561" i="2"/>
  <c r="N560" i="2"/>
  <c r="N559" i="2"/>
  <c r="N558" i="2"/>
  <c r="N557" i="2"/>
  <c r="N556" i="2"/>
  <c r="N555" i="2"/>
  <c r="N554" i="2"/>
  <c r="N553" i="2"/>
  <c r="N552" i="2"/>
  <c r="N551" i="2"/>
  <c r="N550" i="2"/>
  <c r="N549" i="2"/>
  <c r="N548" i="2"/>
  <c r="N547" i="2"/>
  <c r="N546" i="2"/>
  <c r="N545" i="2"/>
  <c r="N544" i="2"/>
  <c r="N543" i="2"/>
  <c r="N542" i="2"/>
  <c r="N541" i="2"/>
  <c r="N540" i="2"/>
  <c r="N539" i="2"/>
  <c r="N538" i="2"/>
  <c r="N537" i="2"/>
  <c r="N536" i="2"/>
  <c r="N535" i="2"/>
  <c r="N534" i="2"/>
  <c r="N533" i="2"/>
  <c r="N532" i="2"/>
  <c r="N531" i="2"/>
  <c r="N530" i="2"/>
  <c r="N529" i="2"/>
  <c r="N528" i="2"/>
  <c r="N527" i="2"/>
  <c r="N526" i="2"/>
  <c r="N525" i="2"/>
  <c r="N524" i="2"/>
  <c r="N523" i="2"/>
  <c r="N522" i="2"/>
  <c r="N521" i="2"/>
  <c r="N520" i="2"/>
  <c r="N519" i="2"/>
  <c r="N518" i="2"/>
  <c r="N517" i="2"/>
  <c r="N516" i="2"/>
  <c r="N515" i="2"/>
  <c r="N514" i="2"/>
  <c r="N513" i="2"/>
  <c r="N512" i="2"/>
  <c r="N511" i="2"/>
  <c r="N510" i="2"/>
  <c r="N509" i="2"/>
  <c r="N508" i="2"/>
  <c r="N507" i="2"/>
  <c r="N506" i="2"/>
  <c r="N505" i="2"/>
  <c r="N504" i="2"/>
  <c r="N503" i="2"/>
  <c r="N502" i="2"/>
  <c r="N501" i="2"/>
  <c r="N500" i="2"/>
  <c r="N499" i="2"/>
  <c r="N498" i="2"/>
  <c r="N497" i="2"/>
  <c r="N496" i="2"/>
  <c r="N495" i="2"/>
  <c r="N494" i="2"/>
  <c r="N493" i="2"/>
  <c r="N492" i="2"/>
  <c r="N491" i="2"/>
  <c r="N490" i="2"/>
  <c r="N489" i="2"/>
  <c r="N488" i="2"/>
  <c r="N487" i="2"/>
  <c r="N486" i="2"/>
  <c r="N485" i="2"/>
  <c r="N484" i="2"/>
  <c r="N483" i="2"/>
  <c r="N482" i="2"/>
  <c r="N481" i="2"/>
  <c r="N480" i="2"/>
  <c r="N479" i="2"/>
  <c r="N478" i="2"/>
  <c r="N477" i="2"/>
  <c r="N476" i="2"/>
  <c r="N475" i="2"/>
  <c r="N474" i="2"/>
  <c r="N473" i="2"/>
  <c r="N472" i="2"/>
  <c r="N471" i="2"/>
  <c r="N470" i="2"/>
  <c r="N469" i="2"/>
  <c r="N468" i="2"/>
  <c r="N467" i="2"/>
  <c r="N466" i="2"/>
  <c r="N465" i="2"/>
  <c r="N464" i="2"/>
  <c r="N463" i="2"/>
  <c r="N462" i="2"/>
  <c r="N461" i="2"/>
  <c r="N460" i="2"/>
  <c r="N459" i="2"/>
  <c r="N458" i="2"/>
  <c r="N457" i="2"/>
  <c r="N456" i="2"/>
  <c r="N455" i="2"/>
  <c r="N454" i="2"/>
  <c r="N453" i="2"/>
  <c r="N452" i="2"/>
  <c r="N451" i="2"/>
  <c r="N450" i="2"/>
  <c r="N449" i="2"/>
  <c r="N448" i="2"/>
  <c r="N447" i="2"/>
  <c r="N446" i="2"/>
  <c r="N445" i="2"/>
  <c r="N444" i="2"/>
  <c r="N443" i="2"/>
  <c r="N442" i="2"/>
  <c r="N441" i="2"/>
  <c r="N440" i="2"/>
  <c r="N439" i="2"/>
  <c r="N438" i="2"/>
  <c r="N437" i="2"/>
  <c r="N436" i="2"/>
  <c r="N435" i="2"/>
  <c r="N434" i="2"/>
  <c r="N433" i="2"/>
  <c r="N432" i="2"/>
  <c r="N431" i="2"/>
  <c r="N430" i="2"/>
  <c r="N429" i="2"/>
  <c r="N428" i="2"/>
  <c r="N427" i="2"/>
  <c r="N426" i="2"/>
  <c r="N425" i="2"/>
  <c r="N424" i="2"/>
  <c r="N423" i="2"/>
  <c r="N422" i="2"/>
  <c r="N421" i="2"/>
  <c r="N420" i="2"/>
  <c r="N419" i="2"/>
  <c r="N418" i="2"/>
  <c r="N417" i="2"/>
  <c r="N416" i="2"/>
  <c r="N415" i="2"/>
  <c r="N414" i="2"/>
  <c r="N413" i="2"/>
  <c r="N412" i="2"/>
  <c r="N411" i="2"/>
  <c r="N410" i="2"/>
  <c r="N409" i="2"/>
  <c r="N408" i="2"/>
  <c r="N407" i="2"/>
  <c r="N406" i="2"/>
  <c r="N405" i="2"/>
  <c r="N404" i="2"/>
  <c r="N403" i="2"/>
  <c r="N402" i="2"/>
  <c r="N401" i="2"/>
  <c r="N400" i="2"/>
  <c r="N399" i="2"/>
  <c r="N398" i="2"/>
  <c r="N397" i="2"/>
  <c r="N396" i="2"/>
  <c r="N395" i="2"/>
  <c r="N394" i="2"/>
  <c r="N393" i="2"/>
  <c r="N392" i="2"/>
  <c r="N391" i="2"/>
  <c r="N390" i="2"/>
  <c r="N389" i="2"/>
  <c r="N388" i="2"/>
  <c r="N387" i="2"/>
  <c r="N386" i="2"/>
  <c r="N385" i="2"/>
  <c r="N384" i="2"/>
  <c r="N383" i="2"/>
  <c r="N382" i="2"/>
  <c r="N381" i="2"/>
  <c r="N380" i="2"/>
  <c r="N379" i="2"/>
  <c r="N378" i="2"/>
  <c r="N377" i="2"/>
  <c r="N376" i="2"/>
  <c r="N375" i="2"/>
  <c r="N374" i="2"/>
  <c r="N373" i="2"/>
  <c r="N372" i="2"/>
  <c r="N371" i="2"/>
  <c r="N370" i="2"/>
  <c r="N369" i="2"/>
  <c r="N368" i="2"/>
  <c r="N367" i="2"/>
  <c r="N366" i="2"/>
  <c r="N365" i="2"/>
  <c r="N364" i="2"/>
  <c r="N363" i="2"/>
  <c r="N362" i="2"/>
  <c r="N361" i="2"/>
  <c r="N360" i="2"/>
  <c r="N359" i="2"/>
  <c r="N358" i="2"/>
  <c r="N357" i="2"/>
  <c r="N356" i="2"/>
  <c r="N355" i="2"/>
  <c r="N354" i="2"/>
  <c r="N353" i="2"/>
  <c r="N352" i="2"/>
  <c r="N351" i="2"/>
  <c r="N350" i="2"/>
  <c r="N349" i="2"/>
  <c r="N348" i="2"/>
  <c r="N347" i="2"/>
  <c r="N346" i="2"/>
  <c r="N345" i="2"/>
  <c r="N344" i="2"/>
  <c r="N343" i="2"/>
  <c r="N342" i="2"/>
  <c r="N341" i="2"/>
  <c r="N340" i="2"/>
  <c r="N339" i="2"/>
  <c r="N338" i="2"/>
  <c r="N337" i="2"/>
  <c r="N336" i="2"/>
  <c r="N335" i="2"/>
  <c r="N334" i="2"/>
  <c r="N333" i="2"/>
  <c r="N332" i="2"/>
  <c r="N331" i="2"/>
  <c r="N330" i="2"/>
  <c r="N329" i="2"/>
  <c r="N328" i="2"/>
  <c r="N327" i="2"/>
  <c r="N326" i="2"/>
  <c r="N325" i="2"/>
  <c r="N324" i="2"/>
  <c r="N323" i="2"/>
  <c r="N322" i="2"/>
  <c r="N321" i="2"/>
  <c r="N320" i="2"/>
  <c r="N319" i="2"/>
  <c r="N318" i="2"/>
  <c r="N317" i="2"/>
  <c r="N316" i="2"/>
  <c r="N315" i="2"/>
  <c r="N314" i="2"/>
  <c r="N313" i="2"/>
  <c r="N312" i="2"/>
  <c r="N311" i="2"/>
  <c r="N310" i="2"/>
  <c r="N309" i="2"/>
  <c r="N308" i="2"/>
  <c r="N307" i="2"/>
  <c r="N306" i="2"/>
  <c r="N305" i="2"/>
  <c r="N304" i="2"/>
  <c r="N303" i="2"/>
  <c r="N302" i="2"/>
  <c r="N301" i="2"/>
  <c r="N300" i="2"/>
  <c r="N299" i="2"/>
  <c r="N298" i="2"/>
  <c r="N297" i="2"/>
  <c r="N296" i="2"/>
  <c r="N295" i="2"/>
  <c r="N294" i="2"/>
  <c r="N293" i="2"/>
  <c r="N292" i="2"/>
  <c r="N291" i="2"/>
  <c r="N290" i="2"/>
  <c r="N289" i="2"/>
  <c r="N288" i="2"/>
  <c r="N287" i="2"/>
  <c r="N286" i="2"/>
  <c r="N285" i="2"/>
  <c r="N284" i="2"/>
  <c r="N283" i="2"/>
  <c r="N282" i="2"/>
  <c r="N281" i="2"/>
  <c r="N280" i="2"/>
  <c r="N279" i="2"/>
  <c r="N278" i="2"/>
  <c r="N277" i="2"/>
  <c r="N276" i="2"/>
  <c r="N275" i="2"/>
  <c r="N274" i="2"/>
  <c r="N273" i="2"/>
  <c r="N272" i="2"/>
  <c r="N271" i="2"/>
  <c r="N270" i="2"/>
  <c r="N269" i="2"/>
  <c r="N268" i="2"/>
  <c r="N267" i="2"/>
  <c r="N266" i="2"/>
  <c r="N265" i="2"/>
  <c r="N264" i="2"/>
  <c r="N263" i="2"/>
  <c r="N262" i="2"/>
  <c r="N261" i="2"/>
  <c r="N260" i="2"/>
  <c r="N259" i="2"/>
  <c r="N258" i="2"/>
  <c r="N257" i="2"/>
  <c r="N256" i="2"/>
  <c r="N255" i="2"/>
  <c r="N254" i="2"/>
  <c r="N253" i="2"/>
  <c r="N252" i="2"/>
  <c r="N251" i="2"/>
  <c r="N250" i="2"/>
  <c r="N249" i="2"/>
  <c r="N248" i="2"/>
  <c r="N247" i="2"/>
  <c r="N246" i="2"/>
  <c r="N245" i="2"/>
  <c r="N244" i="2"/>
  <c r="N243" i="2"/>
  <c r="N242" i="2"/>
  <c r="N241" i="2"/>
  <c r="N240" i="2"/>
  <c r="N239" i="2"/>
  <c r="N238" i="2"/>
  <c r="N237" i="2"/>
  <c r="N236" i="2"/>
  <c r="N235" i="2"/>
  <c r="N234" i="2"/>
  <c r="N233" i="2"/>
  <c r="N232" i="2"/>
  <c r="N231" i="2"/>
  <c r="N230" i="2"/>
  <c r="N229" i="2"/>
  <c r="N228" i="2"/>
  <c r="N227" i="2"/>
  <c r="N226" i="2"/>
  <c r="N225" i="2"/>
  <c r="N224" i="2"/>
  <c r="N223" i="2"/>
  <c r="N222" i="2"/>
  <c r="N221" i="2"/>
  <c r="N220" i="2"/>
  <c r="N219" i="2"/>
  <c r="N218" i="2"/>
  <c r="N217" i="2"/>
  <c r="N216" i="2"/>
  <c r="N215" i="2"/>
  <c r="N214" i="2"/>
  <c r="N213" i="2"/>
  <c r="N212" i="2"/>
  <c r="N211" i="2"/>
  <c r="N210" i="2"/>
  <c r="N209" i="2"/>
  <c r="N208" i="2"/>
  <c r="N207" i="2"/>
  <c r="N206" i="2"/>
  <c r="N205" i="2"/>
  <c r="N204" i="2"/>
  <c r="N203" i="2"/>
  <c r="N202" i="2"/>
  <c r="N201" i="2"/>
  <c r="N200" i="2"/>
  <c r="N199" i="2"/>
  <c r="N198" i="2"/>
  <c r="N197" i="2"/>
  <c r="N196" i="2"/>
  <c r="N195" i="2"/>
  <c r="N194" i="2"/>
  <c r="N193" i="2"/>
  <c r="N192" i="2"/>
  <c r="N191" i="2"/>
  <c r="N190" i="2"/>
  <c r="N189" i="2"/>
  <c r="N188" i="2"/>
  <c r="N187" i="2"/>
  <c r="N186" i="2"/>
  <c r="N185" i="2"/>
  <c r="N184" i="2"/>
  <c r="N183" i="2"/>
  <c r="N182" i="2"/>
  <c r="N181" i="2"/>
  <c r="N180" i="2"/>
  <c r="N179" i="2"/>
  <c r="N178" i="2"/>
  <c r="N177" i="2"/>
  <c r="N176" i="2"/>
  <c r="N175" i="2"/>
  <c r="N174" i="2"/>
  <c r="N173" i="2"/>
  <c r="N172" i="2"/>
  <c r="N171" i="2"/>
  <c r="N170" i="2"/>
  <c r="N169" i="2"/>
  <c r="N168" i="2"/>
  <c r="N167" i="2"/>
  <c r="N166" i="2"/>
  <c r="N165" i="2"/>
  <c r="N164" i="2"/>
  <c r="N163" i="2"/>
  <c r="N162" i="2"/>
  <c r="N161" i="2"/>
  <c r="N160" i="2"/>
  <c r="N159" i="2"/>
  <c r="N158" i="2"/>
  <c r="N157" i="2"/>
  <c r="N156" i="2"/>
  <c r="N155" i="2"/>
  <c r="N154" i="2"/>
  <c r="N153" i="2"/>
  <c r="N152" i="2"/>
  <c r="N151" i="2"/>
  <c r="N150" i="2"/>
  <c r="N149" i="2"/>
  <c r="N148" i="2"/>
  <c r="N147" i="2"/>
  <c r="N146" i="2"/>
  <c r="N145" i="2"/>
  <c r="N144" i="2"/>
  <c r="N143" i="2"/>
  <c r="N142" i="2"/>
  <c r="N141" i="2"/>
  <c r="N140" i="2"/>
  <c r="N139" i="2"/>
  <c r="N138" i="2"/>
  <c r="N137" i="2"/>
  <c r="N136" i="2"/>
  <c r="N135" i="2"/>
  <c r="N134" i="2"/>
  <c r="N133" i="2"/>
  <c r="N132" i="2"/>
  <c r="N131" i="2"/>
  <c r="N130" i="2"/>
  <c r="N129" i="2"/>
  <c r="N128" i="2"/>
  <c r="N127" i="2"/>
  <c r="N126" i="2"/>
  <c r="N125" i="2"/>
  <c r="N124" i="2"/>
  <c r="N123" i="2"/>
  <c r="N122" i="2"/>
  <c r="N121" i="2"/>
  <c r="N120" i="2"/>
  <c r="N119" i="2"/>
  <c r="N118" i="2"/>
  <c r="N117" i="2"/>
  <c r="N116" i="2"/>
  <c r="N115" i="2"/>
  <c r="N114" i="2"/>
  <c r="N113" i="2"/>
  <c r="N112" i="2"/>
  <c r="N111" i="2"/>
  <c r="N110" i="2"/>
  <c r="N109" i="2"/>
  <c r="N108" i="2"/>
  <c r="N107" i="2"/>
  <c r="N106" i="2"/>
  <c r="N105" i="2"/>
  <c r="N104" i="2"/>
  <c r="N103" i="2"/>
  <c r="N102" i="2"/>
  <c r="N101" i="2"/>
  <c r="N100" i="2"/>
  <c r="N99" i="2"/>
  <c r="N98" i="2"/>
  <c r="N97" i="2"/>
  <c r="N96" i="2"/>
  <c r="N95" i="2"/>
  <c r="N94" i="2"/>
  <c r="N93" i="2"/>
  <c r="N92" i="2"/>
  <c r="N91" i="2"/>
  <c r="N90" i="2"/>
  <c r="N89" i="2"/>
  <c r="N88" i="2"/>
  <c r="N87" i="2"/>
  <c r="N86" i="2"/>
  <c r="N85" i="2"/>
  <c r="N84" i="2"/>
  <c r="N83" i="2"/>
  <c r="N82" i="2"/>
  <c r="N81" i="2"/>
  <c r="N80" i="2"/>
  <c r="N79" i="2"/>
  <c r="N78" i="2"/>
  <c r="N77" i="2"/>
  <c r="N76" i="2"/>
  <c r="N75" i="2"/>
  <c r="N74" i="2"/>
  <c r="N73" i="2"/>
  <c r="N72" i="2"/>
  <c r="N71" i="2"/>
  <c r="N70" i="2"/>
  <c r="N69" i="2"/>
  <c r="N68" i="2"/>
  <c r="N67" i="2"/>
  <c r="N66" i="2"/>
  <c r="N65" i="2"/>
  <c r="N64" i="2"/>
  <c r="N63" i="2"/>
  <c r="N62" i="2"/>
  <c r="N61" i="2"/>
  <c r="N60" i="2"/>
  <c r="N59" i="2"/>
  <c r="N58" i="2"/>
  <c r="N57" i="2"/>
  <c r="N56" i="2"/>
  <c r="N55" i="2"/>
  <c r="N54" i="2"/>
  <c r="N53" i="2"/>
  <c r="N52" i="2"/>
  <c r="N51" i="2"/>
  <c r="N50" i="2"/>
  <c r="N49" i="2"/>
  <c r="N48" i="2"/>
  <c r="N47" i="2"/>
  <c r="N46" i="2"/>
  <c r="N45" i="2"/>
  <c r="N44" i="2"/>
  <c r="N43" i="2"/>
  <c r="N42" i="2"/>
  <c r="N41" i="2"/>
  <c r="N40" i="2"/>
  <c r="N39" i="2"/>
  <c r="N38" i="2"/>
  <c r="N37" i="2"/>
  <c r="N36" i="2"/>
  <c r="N35" i="2"/>
  <c r="N34" i="2"/>
  <c r="N33" i="2"/>
  <c r="N32" i="2"/>
  <c r="N31" i="2"/>
  <c r="N30" i="2"/>
  <c r="N29" i="2"/>
  <c r="N28" i="2"/>
  <c r="N27" i="2"/>
  <c r="N26" i="2"/>
  <c r="N25" i="2"/>
  <c r="N24" i="2"/>
  <c r="N23" i="2"/>
  <c r="N22" i="2"/>
  <c r="N21" i="2"/>
  <c r="N20" i="2"/>
  <c r="N19" i="2"/>
  <c r="N18" i="2"/>
  <c r="N17" i="2"/>
  <c r="N16" i="2"/>
  <c r="N15" i="2"/>
  <c r="N14" i="2"/>
  <c r="N13" i="2"/>
  <c r="N12" i="2"/>
  <c r="N11" i="2"/>
  <c r="N10" i="2"/>
  <c r="N9" i="2"/>
  <c r="N8" i="2"/>
  <c r="N7" i="2"/>
  <c r="N6" i="2"/>
  <c r="N5" i="2"/>
  <c r="N4" i="2"/>
  <c r="N3" i="2"/>
  <c r="N2" i="2"/>
  <c r="M1037" i="2"/>
  <c r="M1036" i="2"/>
  <c r="M1035" i="2"/>
  <c r="M1034" i="2"/>
  <c r="M1033" i="2"/>
  <c r="M1032" i="2"/>
  <c r="M1031" i="2"/>
  <c r="M1030" i="2"/>
  <c r="M1029" i="2"/>
  <c r="M1028" i="2"/>
  <c r="M1027" i="2"/>
  <c r="M1026" i="2"/>
  <c r="M1025" i="2"/>
  <c r="M1024" i="2"/>
  <c r="M1023" i="2"/>
  <c r="M1022" i="2"/>
  <c r="M1021" i="2"/>
  <c r="M1020" i="2"/>
  <c r="M1019" i="2"/>
  <c r="M1018" i="2"/>
  <c r="M1017" i="2"/>
  <c r="M1016" i="2"/>
  <c r="M1015" i="2"/>
  <c r="M1014" i="2"/>
  <c r="M1013" i="2"/>
  <c r="M1012" i="2"/>
  <c r="M1011" i="2"/>
  <c r="M1010" i="2"/>
  <c r="M1009" i="2"/>
  <c r="M1008" i="2"/>
  <c r="M1007" i="2"/>
  <c r="M1006" i="2"/>
  <c r="M1005" i="2"/>
  <c r="M1004" i="2"/>
  <c r="M1003" i="2"/>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84" i="2"/>
  <c r="M183" i="2"/>
  <c r="M182" i="2"/>
  <c r="M181" i="2"/>
  <c r="M180" i="2"/>
  <c r="M179" i="2"/>
  <c r="M178" i="2"/>
  <c r="M177" i="2"/>
  <c r="M176" i="2"/>
  <c r="M175" i="2"/>
  <c r="M174" i="2"/>
  <c r="M173" i="2"/>
  <c r="M172" i="2"/>
  <c r="M171" i="2"/>
  <c r="M170" i="2"/>
  <c r="M169" i="2"/>
  <c r="M168" i="2"/>
  <c r="M167" i="2"/>
  <c r="M166" i="2"/>
  <c r="M165" i="2"/>
  <c r="M164" i="2"/>
  <c r="M163" i="2"/>
  <c r="M162" i="2"/>
  <c r="M161" i="2"/>
  <c r="M160" i="2"/>
  <c r="M159" i="2"/>
  <c r="M158" i="2"/>
  <c r="M157" i="2"/>
  <c r="M156" i="2"/>
  <c r="M155" i="2"/>
  <c r="M154" i="2"/>
  <c r="M153" i="2"/>
  <c r="M152" i="2"/>
  <c r="M151" i="2"/>
  <c r="M150" i="2"/>
  <c r="M149" i="2"/>
  <c r="M148" i="2"/>
  <c r="M147" i="2"/>
  <c r="M146" i="2"/>
  <c r="M145" i="2"/>
  <c r="M144" i="2"/>
  <c r="M143" i="2"/>
  <c r="M142" i="2"/>
  <c r="M141" i="2"/>
  <c r="M140" i="2"/>
  <c r="M139" i="2"/>
  <c r="M138" i="2"/>
  <c r="M137" i="2"/>
  <c r="M136" i="2"/>
  <c r="M135" i="2"/>
  <c r="M134" i="2"/>
  <c r="M133" i="2"/>
  <c r="M132" i="2"/>
  <c r="M131" i="2"/>
  <c r="M130" i="2"/>
  <c r="M129" i="2"/>
  <c r="M128" i="2"/>
  <c r="M127" i="2"/>
  <c r="M126" i="2"/>
  <c r="M125" i="2"/>
  <c r="M124" i="2"/>
  <c r="M123" i="2"/>
  <c r="M122" i="2"/>
  <c r="M121" i="2"/>
  <c r="M120" i="2"/>
  <c r="M119" i="2"/>
  <c r="M118" i="2"/>
  <c r="M117" i="2"/>
  <c r="M116" i="2"/>
  <c r="M115" i="2"/>
  <c r="M114" i="2"/>
  <c r="M113" i="2"/>
  <c r="M112" i="2"/>
  <c r="M111" i="2"/>
  <c r="M110" i="2"/>
  <c r="M109" i="2"/>
  <c r="M108" i="2"/>
  <c r="M107" i="2"/>
  <c r="M106" i="2"/>
  <c r="M105" i="2"/>
  <c r="M104" i="2"/>
  <c r="M103" i="2"/>
  <c r="M102" i="2"/>
  <c r="M101" i="2"/>
  <c r="M100" i="2"/>
  <c r="M99" i="2"/>
  <c r="M98" i="2"/>
  <c r="M97" i="2"/>
  <c r="M96" i="2"/>
  <c r="M95" i="2"/>
  <c r="M94" i="2"/>
  <c r="M93" i="2"/>
  <c r="M92" i="2"/>
  <c r="M91" i="2"/>
  <c r="M90" i="2"/>
  <c r="M89" i="2"/>
  <c r="M88" i="2"/>
  <c r="M87" i="2"/>
  <c r="M86" i="2"/>
  <c r="M85" i="2"/>
  <c r="M84" i="2"/>
  <c r="M83" i="2"/>
  <c r="M82" i="2"/>
  <c r="M81" i="2"/>
  <c r="M80" i="2"/>
  <c r="M79" i="2"/>
  <c r="M78" i="2"/>
  <c r="M77" i="2"/>
  <c r="M76" i="2"/>
  <c r="M75" i="2"/>
  <c r="M74" i="2"/>
  <c r="M73" i="2"/>
  <c r="M72" i="2"/>
  <c r="M71" i="2"/>
  <c r="M70" i="2"/>
  <c r="M69" i="2"/>
  <c r="M68" i="2"/>
  <c r="M67" i="2"/>
  <c r="M66" i="2"/>
  <c r="M65" i="2"/>
  <c r="M64" i="2"/>
  <c r="M63" i="2"/>
  <c r="M62" i="2"/>
  <c r="M61" i="2"/>
  <c r="M60" i="2"/>
  <c r="M59" i="2"/>
  <c r="M58" i="2"/>
  <c r="M57" i="2"/>
  <c r="M56" i="2"/>
  <c r="M55" i="2"/>
  <c r="M54" i="2"/>
  <c r="M53" i="2"/>
  <c r="M52" i="2"/>
  <c r="M51" i="2"/>
  <c r="M50" i="2"/>
  <c r="M49" i="2"/>
  <c r="M48" i="2"/>
  <c r="M47" i="2"/>
  <c r="M46" i="2"/>
  <c r="M45" i="2"/>
  <c r="M44" i="2"/>
  <c r="M43" i="2"/>
  <c r="M42" i="2"/>
  <c r="M41" i="2"/>
  <c r="M40" i="2"/>
  <c r="M39" i="2"/>
  <c r="M38" i="2"/>
  <c r="M37" i="2"/>
  <c r="M36" i="2"/>
  <c r="M35" i="2"/>
  <c r="M34" i="2"/>
  <c r="M33" i="2"/>
  <c r="M32" i="2"/>
  <c r="M31" i="2"/>
  <c r="M30" i="2"/>
  <c r="M29" i="2"/>
  <c r="M28" i="2"/>
  <c r="M27" i="2"/>
  <c r="M26" i="2"/>
  <c r="M25" i="2"/>
  <c r="M24" i="2"/>
  <c r="M23" i="2"/>
  <c r="M22" i="2"/>
  <c r="M21" i="2"/>
  <c r="M20" i="2"/>
  <c r="M19" i="2"/>
  <c r="M18" i="2"/>
  <c r="M17" i="2"/>
  <c r="M16" i="2"/>
  <c r="M15" i="2"/>
  <c r="M14" i="2"/>
  <c r="M13" i="2"/>
  <c r="M12" i="2"/>
  <c r="M11" i="2"/>
  <c r="M10" i="2"/>
  <c r="M9" i="2"/>
  <c r="M8" i="2"/>
  <c r="M7" i="2"/>
  <c r="M6" i="2"/>
  <c r="M5" i="2"/>
  <c r="M4" i="2"/>
  <c r="M3" i="2"/>
  <c r="M2" i="2"/>
  <c r="K367" i="2"/>
  <c r="K366" i="2"/>
  <c r="K365" i="2"/>
  <c r="K364" i="2"/>
  <c r="K363" i="2"/>
  <c r="K362" i="2"/>
  <c r="K361" i="2"/>
  <c r="K360" i="2"/>
  <c r="K359" i="2"/>
  <c r="K358" i="2"/>
  <c r="K357" i="2"/>
  <c r="K356" i="2"/>
  <c r="K355" i="2"/>
  <c r="K354" i="2"/>
  <c r="K353" i="2"/>
  <c r="K352" i="2"/>
  <c r="K351" i="2"/>
  <c r="K350" i="2"/>
  <c r="K349" i="2"/>
  <c r="K348" i="2"/>
  <c r="K347" i="2"/>
  <c r="K346" i="2"/>
  <c r="K345" i="2"/>
  <c r="K344" i="2"/>
  <c r="K343" i="2"/>
  <c r="K342" i="2"/>
  <c r="K341" i="2"/>
  <c r="K340" i="2"/>
  <c r="K339" i="2"/>
  <c r="K338" i="2"/>
  <c r="K337" i="2"/>
  <c r="K336" i="2"/>
  <c r="K335" i="2"/>
  <c r="K334" i="2"/>
  <c r="K333" i="2"/>
  <c r="K332" i="2"/>
  <c r="K331" i="2"/>
  <c r="K330" i="2"/>
  <c r="K329" i="2"/>
  <c r="K328" i="2"/>
  <c r="K327" i="2"/>
  <c r="K326" i="2"/>
  <c r="K325" i="2"/>
  <c r="K324" i="2"/>
  <c r="K323" i="2"/>
  <c r="K322" i="2"/>
  <c r="K321" i="2"/>
  <c r="K320" i="2"/>
  <c r="K319" i="2"/>
  <c r="K318" i="2"/>
  <c r="K317" i="2"/>
  <c r="K316" i="2"/>
  <c r="K315" i="2"/>
  <c r="K314" i="2"/>
  <c r="K313" i="2"/>
  <c r="K312" i="2"/>
  <c r="K311" i="2"/>
  <c r="K310" i="2"/>
  <c r="K309" i="2"/>
  <c r="K308" i="2"/>
  <c r="K307" i="2"/>
  <c r="K306" i="2"/>
  <c r="K305" i="2"/>
  <c r="K304" i="2"/>
  <c r="K303" i="2"/>
  <c r="K302" i="2"/>
  <c r="K301" i="2"/>
  <c r="K300" i="2"/>
  <c r="K299" i="2"/>
  <c r="K298" i="2"/>
  <c r="K297" i="2"/>
  <c r="K296" i="2"/>
  <c r="K295" i="2"/>
  <c r="K294" i="2"/>
  <c r="K293" i="2"/>
  <c r="K292" i="2"/>
  <c r="K291" i="2"/>
  <c r="K290" i="2"/>
  <c r="K289" i="2"/>
  <c r="K288" i="2"/>
  <c r="K287" i="2"/>
  <c r="K286" i="2"/>
  <c r="K285" i="2"/>
  <c r="K284" i="2"/>
  <c r="K283" i="2"/>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alcChain>
</file>

<file path=xl/sharedStrings.xml><?xml version="1.0" encoding="utf-8"?>
<sst xmlns="http://schemas.openxmlformats.org/spreadsheetml/2006/main" count="3357" uniqueCount="1155">
  <si>
    <t>S No</t>
  </si>
  <si>
    <t>Date</t>
  </si>
  <si>
    <t>Salesman</t>
  </si>
  <si>
    <t>Region</t>
  </si>
  <si>
    <t>Item</t>
  </si>
  <si>
    <t>Qty</t>
  </si>
  <si>
    <t>Price</t>
  </si>
  <si>
    <t>Amount</t>
  </si>
  <si>
    <t>Ajit Kumar</t>
  </si>
  <si>
    <t>East</t>
  </si>
  <si>
    <t>Mouse</t>
  </si>
  <si>
    <t>Rohit Das</t>
  </si>
  <si>
    <t>West</t>
  </si>
  <si>
    <t>Printer</t>
  </si>
  <si>
    <t>Ramesh</t>
  </si>
  <si>
    <t>Monitor</t>
  </si>
  <si>
    <t>Amit</t>
  </si>
  <si>
    <t>Scanner</t>
  </si>
  <si>
    <t>Chandu</t>
  </si>
  <si>
    <t>Speaker</t>
  </si>
  <si>
    <t>Siddhu</t>
  </si>
  <si>
    <t>Keyboard</t>
  </si>
  <si>
    <t>North</t>
  </si>
  <si>
    <t>South</t>
  </si>
  <si>
    <t>Payment Mode</t>
  </si>
  <si>
    <t>Online</t>
  </si>
  <si>
    <t>Cash</t>
  </si>
  <si>
    <t>Order id</t>
  </si>
  <si>
    <t>A001</t>
  </si>
  <si>
    <t>A002</t>
  </si>
  <si>
    <t>A003</t>
  </si>
  <si>
    <t>A004</t>
  </si>
  <si>
    <t>A005</t>
  </si>
  <si>
    <t>A006</t>
  </si>
  <si>
    <t>A007</t>
  </si>
  <si>
    <t>A008</t>
  </si>
  <si>
    <t>A009</t>
  </si>
  <si>
    <t>A010</t>
  </si>
  <si>
    <t>A011</t>
  </si>
  <si>
    <t>A012</t>
  </si>
  <si>
    <t>A013</t>
  </si>
  <si>
    <t>A014</t>
  </si>
  <si>
    <t>A015</t>
  </si>
  <si>
    <t>A016</t>
  </si>
  <si>
    <t>A017</t>
  </si>
  <si>
    <t>A018</t>
  </si>
  <si>
    <t>A019</t>
  </si>
  <si>
    <t>A020</t>
  </si>
  <si>
    <t>A021</t>
  </si>
  <si>
    <t>A022</t>
  </si>
  <si>
    <t>A023</t>
  </si>
  <si>
    <t>A024</t>
  </si>
  <si>
    <t>A025</t>
  </si>
  <si>
    <t>A026</t>
  </si>
  <si>
    <t>A027</t>
  </si>
  <si>
    <t>A028</t>
  </si>
  <si>
    <t>A029</t>
  </si>
  <si>
    <t>A030</t>
  </si>
  <si>
    <t>A031</t>
  </si>
  <si>
    <t>A032</t>
  </si>
  <si>
    <t>A033</t>
  </si>
  <si>
    <t>A034</t>
  </si>
  <si>
    <t>A035</t>
  </si>
  <si>
    <t>A036</t>
  </si>
  <si>
    <t>A037</t>
  </si>
  <si>
    <t>A038</t>
  </si>
  <si>
    <t>A039</t>
  </si>
  <si>
    <t>A040</t>
  </si>
  <si>
    <t>A041</t>
  </si>
  <si>
    <t>A042</t>
  </si>
  <si>
    <t>A043</t>
  </si>
  <si>
    <t>A044</t>
  </si>
  <si>
    <t>A045</t>
  </si>
  <si>
    <t>A046</t>
  </si>
  <si>
    <t>A047</t>
  </si>
  <si>
    <t>A048</t>
  </si>
  <si>
    <t>A049</t>
  </si>
  <si>
    <t>A050</t>
  </si>
  <si>
    <t>A051</t>
  </si>
  <si>
    <t>A052</t>
  </si>
  <si>
    <t>A053</t>
  </si>
  <si>
    <t>A054</t>
  </si>
  <si>
    <t>A055</t>
  </si>
  <si>
    <t>A056</t>
  </si>
  <si>
    <t>A057</t>
  </si>
  <si>
    <t>A058</t>
  </si>
  <si>
    <t>A059</t>
  </si>
  <si>
    <t>A060</t>
  </si>
  <si>
    <t>A061</t>
  </si>
  <si>
    <t>A062</t>
  </si>
  <si>
    <t>A063</t>
  </si>
  <si>
    <t>A064</t>
  </si>
  <si>
    <t>A065</t>
  </si>
  <si>
    <t>A066</t>
  </si>
  <si>
    <t>A067</t>
  </si>
  <si>
    <t>A068</t>
  </si>
  <si>
    <t>A069</t>
  </si>
  <si>
    <t>A070</t>
  </si>
  <si>
    <t>A071</t>
  </si>
  <si>
    <t>A072</t>
  </si>
  <si>
    <t>A073</t>
  </si>
  <si>
    <t>A074</t>
  </si>
  <si>
    <t>A075</t>
  </si>
  <si>
    <t>A076</t>
  </si>
  <si>
    <t>A077</t>
  </si>
  <si>
    <t>A078</t>
  </si>
  <si>
    <t>A079</t>
  </si>
  <si>
    <t>A080</t>
  </si>
  <si>
    <t>A081</t>
  </si>
  <si>
    <t>A082</t>
  </si>
  <si>
    <t>A083</t>
  </si>
  <si>
    <t>A084</t>
  </si>
  <si>
    <t>A085</t>
  </si>
  <si>
    <t>A086</t>
  </si>
  <si>
    <t>A087</t>
  </si>
  <si>
    <t>A088</t>
  </si>
  <si>
    <t>A089</t>
  </si>
  <si>
    <t>A090</t>
  </si>
  <si>
    <t>A091</t>
  </si>
  <si>
    <t>A092</t>
  </si>
  <si>
    <t>A093</t>
  </si>
  <si>
    <t>A094</t>
  </si>
  <si>
    <t>A095</t>
  </si>
  <si>
    <t>A096</t>
  </si>
  <si>
    <t>A097</t>
  </si>
  <si>
    <t>A098</t>
  </si>
  <si>
    <t>A099</t>
  </si>
  <si>
    <t>A100</t>
  </si>
  <si>
    <t>A101</t>
  </si>
  <si>
    <t>A102</t>
  </si>
  <si>
    <t>A103</t>
  </si>
  <si>
    <t>A104</t>
  </si>
  <si>
    <t>A105</t>
  </si>
  <si>
    <t>A106</t>
  </si>
  <si>
    <t>A107</t>
  </si>
  <si>
    <t>A108</t>
  </si>
  <si>
    <t>A109</t>
  </si>
  <si>
    <t>A110</t>
  </si>
  <si>
    <t>A111</t>
  </si>
  <si>
    <t>A112</t>
  </si>
  <si>
    <t>A113</t>
  </si>
  <si>
    <t>A114</t>
  </si>
  <si>
    <t>A115</t>
  </si>
  <si>
    <t>A116</t>
  </si>
  <si>
    <t>A117</t>
  </si>
  <si>
    <t>A118</t>
  </si>
  <si>
    <t>A119</t>
  </si>
  <si>
    <t>A120</t>
  </si>
  <si>
    <t>A121</t>
  </si>
  <si>
    <t>A122</t>
  </si>
  <si>
    <t>A123</t>
  </si>
  <si>
    <t>A124</t>
  </si>
  <si>
    <t>A125</t>
  </si>
  <si>
    <t>A126</t>
  </si>
  <si>
    <t>A127</t>
  </si>
  <si>
    <t>A128</t>
  </si>
  <si>
    <t>A129</t>
  </si>
  <si>
    <t>A130</t>
  </si>
  <si>
    <t>A131</t>
  </si>
  <si>
    <t>A132</t>
  </si>
  <si>
    <t>A133</t>
  </si>
  <si>
    <t>A134</t>
  </si>
  <si>
    <t>A135</t>
  </si>
  <si>
    <t>A136</t>
  </si>
  <si>
    <t>A137</t>
  </si>
  <si>
    <t>A138</t>
  </si>
  <si>
    <t>A139</t>
  </si>
  <si>
    <t>A140</t>
  </si>
  <si>
    <t>A141</t>
  </si>
  <si>
    <t>A142</t>
  </si>
  <si>
    <t>A143</t>
  </si>
  <si>
    <t>A144</t>
  </si>
  <si>
    <t>A145</t>
  </si>
  <si>
    <t>A146</t>
  </si>
  <si>
    <t>A147</t>
  </si>
  <si>
    <t>A148</t>
  </si>
  <si>
    <t>A149</t>
  </si>
  <si>
    <t>A150</t>
  </si>
  <si>
    <t>A151</t>
  </si>
  <si>
    <t>A152</t>
  </si>
  <si>
    <t>A153</t>
  </si>
  <si>
    <t>A154</t>
  </si>
  <si>
    <t>A155</t>
  </si>
  <si>
    <t>A156</t>
  </si>
  <si>
    <t>A157</t>
  </si>
  <si>
    <t>A158</t>
  </si>
  <si>
    <t>A159</t>
  </si>
  <si>
    <t>A160</t>
  </si>
  <si>
    <t>A161</t>
  </si>
  <si>
    <t>A162</t>
  </si>
  <si>
    <t>A163</t>
  </si>
  <si>
    <t>A164</t>
  </si>
  <si>
    <t>A165</t>
  </si>
  <si>
    <t>A166</t>
  </si>
  <si>
    <t>A167</t>
  </si>
  <si>
    <t>A168</t>
  </si>
  <si>
    <t>A169</t>
  </si>
  <si>
    <t>A170</t>
  </si>
  <si>
    <t>A171</t>
  </si>
  <si>
    <t>A172</t>
  </si>
  <si>
    <t>A173</t>
  </si>
  <si>
    <t>A174</t>
  </si>
  <si>
    <t>A175</t>
  </si>
  <si>
    <t>A176</t>
  </si>
  <si>
    <t>A177</t>
  </si>
  <si>
    <t>A178</t>
  </si>
  <si>
    <t>A179</t>
  </si>
  <si>
    <t>A180</t>
  </si>
  <si>
    <t>A181</t>
  </si>
  <si>
    <t>A182</t>
  </si>
  <si>
    <t>A183</t>
  </si>
  <si>
    <t>A184</t>
  </si>
  <si>
    <t>A185</t>
  </si>
  <si>
    <t>A186</t>
  </si>
  <si>
    <t>A187</t>
  </si>
  <si>
    <t>A188</t>
  </si>
  <si>
    <t>A189</t>
  </si>
  <si>
    <t>A190</t>
  </si>
  <si>
    <t>A191</t>
  </si>
  <si>
    <t>A192</t>
  </si>
  <si>
    <t>A193</t>
  </si>
  <si>
    <t>A194</t>
  </si>
  <si>
    <t>A195</t>
  </si>
  <si>
    <t>A196</t>
  </si>
  <si>
    <t>A197</t>
  </si>
  <si>
    <t>A198</t>
  </si>
  <si>
    <t>A199</t>
  </si>
  <si>
    <t>A200</t>
  </si>
  <si>
    <t>A201</t>
  </si>
  <si>
    <t>A202</t>
  </si>
  <si>
    <t>A203</t>
  </si>
  <si>
    <t>A204</t>
  </si>
  <si>
    <t>A205</t>
  </si>
  <si>
    <t>A206</t>
  </si>
  <si>
    <t>A207</t>
  </si>
  <si>
    <t>A208</t>
  </si>
  <si>
    <t>A209</t>
  </si>
  <si>
    <t>A210</t>
  </si>
  <si>
    <t>A211</t>
  </si>
  <si>
    <t>A212</t>
  </si>
  <si>
    <t>A213</t>
  </si>
  <si>
    <t>A214</t>
  </si>
  <si>
    <t>A215</t>
  </si>
  <si>
    <t>A216</t>
  </si>
  <si>
    <t>A217</t>
  </si>
  <si>
    <t>A218</t>
  </si>
  <si>
    <t>A219</t>
  </si>
  <si>
    <t>A220</t>
  </si>
  <si>
    <t>A221</t>
  </si>
  <si>
    <t>A222</t>
  </si>
  <si>
    <t>A223</t>
  </si>
  <si>
    <t>A224</t>
  </si>
  <si>
    <t>A225</t>
  </si>
  <si>
    <t>A226</t>
  </si>
  <si>
    <t>A227</t>
  </si>
  <si>
    <t>A228</t>
  </si>
  <si>
    <t>A229</t>
  </si>
  <si>
    <t>A230</t>
  </si>
  <si>
    <t>A231</t>
  </si>
  <si>
    <t>A232</t>
  </si>
  <si>
    <t>A233</t>
  </si>
  <si>
    <t>A234</t>
  </si>
  <si>
    <t>A235</t>
  </si>
  <si>
    <t>A236</t>
  </si>
  <si>
    <t>A237</t>
  </si>
  <si>
    <t>A238</t>
  </si>
  <si>
    <t>A239</t>
  </si>
  <si>
    <t>A240</t>
  </si>
  <si>
    <t>A241</t>
  </si>
  <si>
    <t>A242</t>
  </si>
  <si>
    <t>A243</t>
  </si>
  <si>
    <t>A244</t>
  </si>
  <si>
    <t>A245</t>
  </si>
  <si>
    <t>A246</t>
  </si>
  <si>
    <t>A247</t>
  </si>
  <si>
    <t>A248</t>
  </si>
  <si>
    <t>A249</t>
  </si>
  <si>
    <t>A250</t>
  </si>
  <si>
    <t>A251</t>
  </si>
  <si>
    <t>A252</t>
  </si>
  <si>
    <t>A253</t>
  </si>
  <si>
    <t>A254</t>
  </si>
  <si>
    <t>A255</t>
  </si>
  <si>
    <t>A256</t>
  </si>
  <si>
    <t>A257</t>
  </si>
  <si>
    <t>A258</t>
  </si>
  <si>
    <t>A259</t>
  </si>
  <si>
    <t>A260</t>
  </si>
  <si>
    <t>A261</t>
  </si>
  <si>
    <t>A262</t>
  </si>
  <si>
    <t>A263</t>
  </si>
  <si>
    <t>A264</t>
  </si>
  <si>
    <t>A265</t>
  </si>
  <si>
    <t>A266</t>
  </si>
  <si>
    <t>A267</t>
  </si>
  <si>
    <t>A268</t>
  </si>
  <si>
    <t>A269</t>
  </si>
  <si>
    <t>A270</t>
  </si>
  <si>
    <t>A271</t>
  </si>
  <si>
    <t>A272</t>
  </si>
  <si>
    <t>A273</t>
  </si>
  <si>
    <t>A274</t>
  </si>
  <si>
    <t>A275</t>
  </si>
  <si>
    <t>A276</t>
  </si>
  <si>
    <t>A277</t>
  </si>
  <si>
    <t>A278</t>
  </si>
  <si>
    <t>A279</t>
  </si>
  <si>
    <t>A280</t>
  </si>
  <si>
    <t>A281</t>
  </si>
  <si>
    <t>A282</t>
  </si>
  <si>
    <t>A283</t>
  </si>
  <si>
    <t>A284</t>
  </si>
  <si>
    <t>A285</t>
  </si>
  <si>
    <t>A286</t>
  </si>
  <si>
    <t>A287</t>
  </si>
  <si>
    <t>A288</t>
  </si>
  <si>
    <t>A289</t>
  </si>
  <si>
    <t>A290</t>
  </si>
  <si>
    <t>A291</t>
  </si>
  <si>
    <t>A292</t>
  </si>
  <si>
    <t>A293</t>
  </si>
  <si>
    <t>A294</t>
  </si>
  <si>
    <t>A295</t>
  </si>
  <si>
    <t>A296</t>
  </si>
  <si>
    <t>A297</t>
  </si>
  <si>
    <t>A298</t>
  </si>
  <si>
    <t>A299</t>
  </si>
  <si>
    <t>A300</t>
  </si>
  <si>
    <t>A301</t>
  </si>
  <si>
    <t>A302</t>
  </si>
  <si>
    <t>A303</t>
  </si>
  <si>
    <t>A304</t>
  </si>
  <si>
    <t>A305</t>
  </si>
  <si>
    <t>A306</t>
  </si>
  <si>
    <t>A307</t>
  </si>
  <si>
    <t>A308</t>
  </si>
  <si>
    <t>A309</t>
  </si>
  <si>
    <t>A310</t>
  </si>
  <si>
    <t>A311</t>
  </si>
  <si>
    <t>A312</t>
  </si>
  <si>
    <t>A313</t>
  </si>
  <si>
    <t>A314</t>
  </si>
  <si>
    <t>A315</t>
  </si>
  <si>
    <t>A316</t>
  </si>
  <si>
    <t>A317</t>
  </si>
  <si>
    <t>A318</t>
  </si>
  <si>
    <t>A319</t>
  </si>
  <si>
    <t>A320</t>
  </si>
  <si>
    <t>A321</t>
  </si>
  <si>
    <t>A322</t>
  </si>
  <si>
    <t>A323</t>
  </si>
  <si>
    <t>A324</t>
  </si>
  <si>
    <t>A325</t>
  </si>
  <si>
    <t>A326</t>
  </si>
  <si>
    <t>A327</t>
  </si>
  <si>
    <t>A328</t>
  </si>
  <si>
    <t>A329</t>
  </si>
  <si>
    <t>A330</t>
  </si>
  <si>
    <t>A331</t>
  </si>
  <si>
    <t>A332</t>
  </si>
  <si>
    <t>A333</t>
  </si>
  <si>
    <t>A334</t>
  </si>
  <si>
    <t>A335</t>
  </si>
  <si>
    <t>A336</t>
  </si>
  <si>
    <t>A337</t>
  </si>
  <si>
    <t>A338</t>
  </si>
  <si>
    <t>A339</t>
  </si>
  <si>
    <t>A340</t>
  </si>
  <si>
    <t>A341</t>
  </si>
  <si>
    <t>A342</t>
  </si>
  <si>
    <t>A343</t>
  </si>
  <si>
    <t>A344</t>
  </si>
  <si>
    <t>A345</t>
  </si>
  <si>
    <t>A346</t>
  </si>
  <si>
    <t>A347</t>
  </si>
  <si>
    <t>A348</t>
  </si>
  <si>
    <t>A349</t>
  </si>
  <si>
    <t>A350</t>
  </si>
  <si>
    <t>A351</t>
  </si>
  <si>
    <t>A352</t>
  </si>
  <si>
    <t>A353</t>
  </si>
  <si>
    <t>A354</t>
  </si>
  <si>
    <t>A355</t>
  </si>
  <si>
    <t>A356</t>
  </si>
  <si>
    <t>A357</t>
  </si>
  <si>
    <t>A358</t>
  </si>
  <si>
    <t>A359</t>
  </si>
  <si>
    <t>A360</t>
  </si>
  <si>
    <t>A361</t>
  </si>
  <si>
    <t>A362</t>
  </si>
  <si>
    <t>A363</t>
  </si>
  <si>
    <t>A364</t>
  </si>
  <si>
    <t>A365</t>
  </si>
  <si>
    <t>A366</t>
  </si>
  <si>
    <t>A367</t>
  </si>
  <si>
    <t>A368</t>
  </si>
  <si>
    <t>A369</t>
  </si>
  <si>
    <t>A370</t>
  </si>
  <si>
    <t>A371</t>
  </si>
  <si>
    <t>A372</t>
  </si>
  <si>
    <t>A373</t>
  </si>
  <si>
    <t>A374</t>
  </si>
  <si>
    <t>A375</t>
  </si>
  <si>
    <t>A376</t>
  </si>
  <si>
    <t>A377</t>
  </si>
  <si>
    <t>A378</t>
  </si>
  <si>
    <t>A379</t>
  </si>
  <si>
    <t>A380</t>
  </si>
  <si>
    <t>A381</t>
  </si>
  <si>
    <t>A382</t>
  </si>
  <si>
    <t>A383</t>
  </si>
  <si>
    <t>A384</t>
  </si>
  <si>
    <t>A385</t>
  </si>
  <si>
    <t>A386</t>
  </si>
  <si>
    <t>A387</t>
  </si>
  <si>
    <t>A388</t>
  </si>
  <si>
    <t>A389</t>
  </si>
  <si>
    <t>A390</t>
  </si>
  <si>
    <t>A391</t>
  </si>
  <si>
    <t>A392</t>
  </si>
  <si>
    <t>A393</t>
  </si>
  <si>
    <t>A394</t>
  </si>
  <si>
    <t>A395</t>
  </si>
  <si>
    <t>A396</t>
  </si>
  <si>
    <t>A397</t>
  </si>
  <si>
    <t>A398</t>
  </si>
  <si>
    <t>A399</t>
  </si>
  <si>
    <t>A400</t>
  </si>
  <si>
    <t>A401</t>
  </si>
  <si>
    <t>A402</t>
  </si>
  <si>
    <t>A403</t>
  </si>
  <si>
    <t>A404</t>
  </si>
  <si>
    <t>A405</t>
  </si>
  <si>
    <t>A406</t>
  </si>
  <si>
    <t>A407</t>
  </si>
  <si>
    <t>A408</t>
  </si>
  <si>
    <t>A409</t>
  </si>
  <si>
    <t>A410</t>
  </si>
  <si>
    <t>A411</t>
  </si>
  <si>
    <t>A412</t>
  </si>
  <si>
    <t>A413</t>
  </si>
  <si>
    <t>A414</t>
  </si>
  <si>
    <t>A415</t>
  </si>
  <si>
    <t>A416</t>
  </si>
  <si>
    <t>A417</t>
  </si>
  <si>
    <t>A418</t>
  </si>
  <si>
    <t>A419</t>
  </si>
  <si>
    <t>A420</t>
  </si>
  <si>
    <t>A421</t>
  </si>
  <si>
    <t>A422</t>
  </si>
  <si>
    <t>A423</t>
  </si>
  <si>
    <t>A424</t>
  </si>
  <si>
    <t>A425</t>
  </si>
  <si>
    <t>A426</t>
  </si>
  <si>
    <t>A427</t>
  </si>
  <si>
    <t>A428</t>
  </si>
  <si>
    <t>A429</t>
  </si>
  <si>
    <t>A430</t>
  </si>
  <si>
    <t>A431</t>
  </si>
  <si>
    <t>A432</t>
  </si>
  <si>
    <t>A433</t>
  </si>
  <si>
    <t>A434</t>
  </si>
  <si>
    <t>A435</t>
  </si>
  <si>
    <t>A436</t>
  </si>
  <si>
    <t>A437</t>
  </si>
  <si>
    <t>A438</t>
  </si>
  <si>
    <t>A439</t>
  </si>
  <si>
    <t>A440</t>
  </si>
  <si>
    <t>A441</t>
  </si>
  <si>
    <t>A442</t>
  </si>
  <si>
    <t>A443</t>
  </si>
  <si>
    <t>A444</t>
  </si>
  <si>
    <t>A445</t>
  </si>
  <si>
    <t>A446</t>
  </si>
  <si>
    <t>A447</t>
  </si>
  <si>
    <t>A448</t>
  </si>
  <si>
    <t>A449</t>
  </si>
  <si>
    <t>A450</t>
  </si>
  <si>
    <t>A451</t>
  </si>
  <si>
    <t>A452</t>
  </si>
  <si>
    <t>A453</t>
  </si>
  <si>
    <t>A454</t>
  </si>
  <si>
    <t>A455</t>
  </si>
  <si>
    <t>A456</t>
  </si>
  <si>
    <t>A457</t>
  </si>
  <si>
    <t>A458</t>
  </si>
  <si>
    <t>A459</t>
  </si>
  <si>
    <t>A460</t>
  </si>
  <si>
    <t>A461</t>
  </si>
  <si>
    <t>A462</t>
  </si>
  <si>
    <t>A463</t>
  </si>
  <si>
    <t>A464</t>
  </si>
  <si>
    <t>A465</t>
  </si>
  <si>
    <t>A466</t>
  </si>
  <si>
    <t>A467</t>
  </si>
  <si>
    <t>A468</t>
  </si>
  <si>
    <t>A469</t>
  </si>
  <si>
    <t>A470</t>
  </si>
  <si>
    <t>A471</t>
  </si>
  <si>
    <t>A472</t>
  </si>
  <si>
    <t>A473</t>
  </si>
  <si>
    <t>A474</t>
  </si>
  <si>
    <t>A475</t>
  </si>
  <si>
    <t>A476</t>
  </si>
  <si>
    <t>A477</t>
  </si>
  <si>
    <t>A478</t>
  </si>
  <si>
    <t>A479</t>
  </si>
  <si>
    <t>A480</t>
  </si>
  <si>
    <t>A481</t>
  </si>
  <si>
    <t>A482</t>
  </si>
  <si>
    <t>A483</t>
  </si>
  <si>
    <t>A484</t>
  </si>
  <si>
    <t>A485</t>
  </si>
  <si>
    <t>A486</t>
  </si>
  <si>
    <t>A487</t>
  </si>
  <si>
    <t>A488</t>
  </si>
  <si>
    <t>A489</t>
  </si>
  <si>
    <t>A490</t>
  </si>
  <si>
    <t>A491</t>
  </si>
  <si>
    <t>A492</t>
  </si>
  <si>
    <t>A493</t>
  </si>
  <si>
    <t>A494</t>
  </si>
  <si>
    <t>A495</t>
  </si>
  <si>
    <t>A496</t>
  </si>
  <si>
    <t>A497</t>
  </si>
  <si>
    <t>A498</t>
  </si>
  <si>
    <t>A499</t>
  </si>
  <si>
    <t>A500</t>
  </si>
  <si>
    <t>A501</t>
  </si>
  <si>
    <t>A502</t>
  </si>
  <si>
    <t>A503</t>
  </si>
  <si>
    <t>A504</t>
  </si>
  <si>
    <t>A505</t>
  </si>
  <si>
    <t>A506</t>
  </si>
  <si>
    <t>A507</t>
  </si>
  <si>
    <t>A508</t>
  </si>
  <si>
    <t>A509</t>
  </si>
  <si>
    <t>A510</t>
  </si>
  <si>
    <t>A511</t>
  </si>
  <si>
    <t>A512</t>
  </si>
  <si>
    <t>A513</t>
  </si>
  <si>
    <t>A514</t>
  </si>
  <si>
    <t>A515</t>
  </si>
  <si>
    <t>A516</t>
  </si>
  <si>
    <t>A517</t>
  </si>
  <si>
    <t>A518</t>
  </si>
  <si>
    <t>A519</t>
  </si>
  <si>
    <t>A520</t>
  </si>
  <si>
    <t>A521</t>
  </si>
  <si>
    <t>A522</t>
  </si>
  <si>
    <t>A523</t>
  </si>
  <si>
    <t>A524</t>
  </si>
  <si>
    <t>A525</t>
  </si>
  <si>
    <t>A526</t>
  </si>
  <si>
    <t>A527</t>
  </si>
  <si>
    <t>A528</t>
  </si>
  <si>
    <t>A529</t>
  </si>
  <si>
    <t>A530</t>
  </si>
  <si>
    <t>A531</t>
  </si>
  <si>
    <t>A532</t>
  </si>
  <si>
    <t>A533</t>
  </si>
  <si>
    <t>A534</t>
  </si>
  <si>
    <t>A535</t>
  </si>
  <si>
    <t>A536</t>
  </si>
  <si>
    <t>A537</t>
  </si>
  <si>
    <t>A538</t>
  </si>
  <si>
    <t>A539</t>
  </si>
  <si>
    <t>A540</t>
  </si>
  <si>
    <t>A541</t>
  </si>
  <si>
    <t>A542</t>
  </si>
  <si>
    <t>A543</t>
  </si>
  <si>
    <t>A544</t>
  </si>
  <si>
    <t>A545</t>
  </si>
  <si>
    <t>A546</t>
  </si>
  <si>
    <t>A547</t>
  </si>
  <si>
    <t>A548</t>
  </si>
  <si>
    <t>A549</t>
  </si>
  <si>
    <t>A550</t>
  </si>
  <si>
    <t>A551</t>
  </si>
  <si>
    <t>A552</t>
  </si>
  <si>
    <t>A553</t>
  </si>
  <si>
    <t>A554</t>
  </si>
  <si>
    <t>A555</t>
  </si>
  <si>
    <t>A556</t>
  </si>
  <si>
    <t>A557</t>
  </si>
  <si>
    <t>A558</t>
  </si>
  <si>
    <t>A559</t>
  </si>
  <si>
    <t>A560</t>
  </si>
  <si>
    <t>A561</t>
  </si>
  <si>
    <t>A562</t>
  </si>
  <si>
    <t>A563</t>
  </si>
  <si>
    <t>A564</t>
  </si>
  <si>
    <t>A565</t>
  </si>
  <si>
    <t>A566</t>
  </si>
  <si>
    <t>A567</t>
  </si>
  <si>
    <t>A568</t>
  </si>
  <si>
    <t>A569</t>
  </si>
  <si>
    <t>A570</t>
  </si>
  <si>
    <t>A571</t>
  </si>
  <si>
    <t>A572</t>
  </si>
  <si>
    <t>A573</t>
  </si>
  <si>
    <t>A574</t>
  </si>
  <si>
    <t>A575</t>
  </si>
  <si>
    <t>A576</t>
  </si>
  <si>
    <t>A577</t>
  </si>
  <si>
    <t>A578</t>
  </si>
  <si>
    <t>A579</t>
  </si>
  <si>
    <t>A580</t>
  </si>
  <si>
    <t>A581</t>
  </si>
  <si>
    <t>A582</t>
  </si>
  <si>
    <t>A583</t>
  </si>
  <si>
    <t>A584</t>
  </si>
  <si>
    <t>A585</t>
  </si>
  <si>
    <t>A586</t>
  </si>
  <si>
    <t>A587</t>
  </si>
  <si>
    <t>A588</t>
  </si>
  <si>
    <t>A589</t>
  </si>
  <si>
    <t>A590</t>
  </si>
  <si>
    <t>A591</t>
  </si>
  <si>
    <t>A592</t>
  </si>
  <si>
    <t>A593</t>
  </si>
  <si>
    <t>A594</t>
  </si>
  <si>
    <t>A595</t>
  </si>
  <si>
    <t>A596</t>
  </si>
  <si>
    <t>A597</t>
  </si>
  <si>
    <t>A598</t>
  </si>
  <si>
    <t>A599</t>
  </si>
  <si>
    <t>A600</t>
  </si>
  <si>
    <t>A601</t>
  </si>
  <si>
    <t>A602</t>
  </si>
  <si>
    <t>A603</t>
  </si>
  <si>
    <t>A604</t>
  </si>
  <si>
    <t>A605</t>
  </si>
  <si>
    <t>A606</t>
  </si>
  <si>
    <t>A607</t>
  </si>
  <si>
    <t>A608</t>
  </si>
  <si>
    <t>A609</t>
  </si>
  <si>
    <t>A610</t>
  </si>
  <si>
    <t>A611</t>
  </si>
  <si>
    <t>A612</t>
  </si>
  <si>
    <t>A613</t>
  </si>
  <si>
    <t>A614</t>
  </si>
  <si>
    <t>A615</t>
  </si>
  <si>
    <t>A616</t>
  </si>
  <si>
    <t>A617</t>
  </si>
  <si>
    <t>A618</t>
  </si>
  <si>
    <t>A619</t>
  </si>
  <si>
    <t>A620</t>
  </si>
  <si>
    <t>A621</t>
  </si>
  <si>
    <t>A622</t>
  </si>
  <si>
    <t>A623</t>
  </si>
  <si>
    <t>A624</t>
  </si>
  <si>
    <t>A625</t>
  </si>
  <si>
    <t>A626</t>
  </si>
  <si>
    <t>A627</t>
  </si>
  <si>
    <t>A628</t>
  </si>
  <si>
    <t>A629</t>
  </si>
  <si>
    <t>A630</t>
  </si>
  <si>
    <t>A631</t>
  </si>
  <si>
    <t>A632</t>
  </si>
  <si>
    <t>A633</t>
  </si>
  <si>
    <t>A634</t>
  </si>
  <si>
    <t>A635</t>
  </si>
  <si>
    <t>A636</t>
  </si>
  <si>
    <t>A637</t>
  </si>
  <si>
    <t>A638</t>
  </si>
  <si>
    <t>A639</t>
  </si>
  <si>
    <t>A640</t>
  </si>
  <si>
    <t>A641</t>
  </si>
  <si>
    <t>A642</t>
  </si>
  <si>
    <t>A643</t>
  </si>
  <si>
    <t>A644</t>
  </si>
  <si>
    <t>A645</t>
  </si>
  <si>
    <t>A646</t>
  </si>
  <si>
    <t>A647</t>
  </si>
  <si>
    <t>A648</t>
  </si>
  <si>
    <t>A649</t>
  </si>
  <si>
    <t>A650</t>
  </si>
  <si>
    <t>A651</t>
  </si>
  <si>
    <t>A652</t>
  </si>
  <si>
    <t>A653</t>
  </si>
  <si>
    <t>A654</t>
  </si>
  <si>
    <t>A655</t>
  </si>
  <si>
    <t>A656</t>
  </si>
  <si>
    <t>A657</t>
  </si>
  <si>
    <t>A658</t>
  </si>
  <si>
    <t>A659</t>
  </si>
  <si>
    <t>A660</t>
  </si>
  <si>
    <t>A661</t>
  </si>
  <si>
    <t>A662</t>
  </si>
  <si>
    <t>A663</t>
  </si>
  <si>
    <t>A664</t>
  </si>
  <si>
    <t>A665</t>
  </si>
  <si>
    <t>A666</t>
  </si>
  <si>
    <t>A667</t>
  </si>
  <si>
    <t>A668</t>
  </si>
  <si>
    <t>A669</t>
  </si>
  <si>
    <t>A670</t>
  </si>
  <si>
    <t>A671</t>
  </si>
  <si>
    <t>A672</t>
  </si>
  <si>
    <t>A673</t>
  </si>
  <si>
    <t>A674</t>
  </si>
  <si>
    <t>A675</t>
  </si>
  <si>
    <t>A676</t>
  </si>
  <si>
    <t>A677</t>
  </si>
  <si>
    <t>A678</t>
  </si>
  <si>
    <t>A679</t>
  </si>
  <si>
    <t>A680</t>
  </si>
  <si>
    <t>A681</t>
  </si>
  <si>
    <t>A682</t>
  </si>
  <si>
    <t>A683</t>
  </si>
  <si>
    <t>A684</t>
  </si>
  <si>
    <t>A685</t>
  </si>
  <si>
    <t>A686</t>
  </si>
  <si>
    <t>A687</t>
  </si>
  <si>
    <t>A688</t>
  </si>
  <si>
    <t>A689</t>
  </si>
  <si>
    <t>A690</t>
  </si>
  <si>
    <t>A691</t>
  </si>
  <si>
    <t>A692</t>
  </si>
  <si>
    <t>A693</t>
  </si>
  <si>
    <t>A694</t>
  </si>
  <si>
    <t>A695</t>
  </si>
  <si>
    <t>A696</t>
  </si>
  <si>
    <t>A697</t>
  </si>
  <si>
    <t>A698</t>
  </si>
  <si>
    <t>A699</t>
  </si>
  <si>
    <t>A700</t>
  </si>
  <si>
    <t>A701</t>
  </si>
  <si>
    <t>A702</t>
  </si>
  <si>
    <t>A703</t>
  </si>
  <si>
    <t>A704</t>
  </si>
  <si>
    <t>A705</t>
  </si>
  <si>
    <t>A706</t>
  </si>
  <si>
    <t>A707</t>
  </si>
  <si>
    <t>A708</t>
  </si>
  <si>
    <t>A709</t>
  </si>
  <si>
    <t>A710</t>
  </si>
  <si>
    <t>A711</t>
  </si>
  <si>
    <t>A712</t>
  </si>
  <si>
    <t>A713</t>
  </si>
  <si>
    <t>A714</t>
  </si>
  <si>
    <t>A715</t>
  </si>
  <si>
    <t>A716</t>
  </si>
  <si>
    <t>A717</t>
  </si>
  <si>
    <t>A718</t>
  </si>
  <si>
    <t>A719</t>
  </si>
  <si>
    <t>A720</t>
  </si>
  <si>
    <t>A721</t>
  </si>
  <si>
    <t>A722</t>
  </si>
  <si>
    <t>A723</t>
  </si>
  <si>
    <t>A724</t>
  </si>
  <si>
    <t>A725</t>
  </si>
  <si>
    <t>A726</t>
  </si>
  <si>
    <t>A727</t>
  </si>
  <si>
    <t>A728</t>
  </si>
  <si>
    <t>A729</t>
  </si>
  <si>
    <t>A730</t>
  </si>
  <si>
    <t>A731</t>
  </si>
  <si>
    <t>A732</t>
  </si>
  <si>
    <t>A733</t>
  </si>
  <si>
    <t>A734</t>
  </si>
  <si>
    <t>A735</t>
  </si>
  <si>
    <t>A736</t>
  </si>
  <si>
    <t>A737</t>
  </si>
  <si>
    <t>A738</t>
  </si>
  <si>
    <t>A739</t>
  </si>
  <si>
    <t>A740</t>
  </si>
  <si>
    <t>A741</t>
  </si>
  <si>
    <t>A742</t>
  </si>
  <si>
    <t>A743</t>
  </si>
  <si>
    <t>A744</t>
  </si>
  <si>
    <t>A745</t>
  </si>
  <si>
    <t>A746</t>
  </si>
  <si>
    <t>A747</t>
  </si>
  <si>
    <t>A748</t>
  </si>
  <si>
    <t>A749</t>
  </si>
  <si>
    <t>A750</t>
  </si>
  <si>
    <t>A751</t>
  </si>
  <si>
    <t>A752</t>
  </si>
  <si>
    <t>A753</t>
  </si>
  <si>
    <t>A754</t>
  </si>
  <si>
    <t>A755</t>
  </si>
  <si>
    <t>A756</t>
  </si>
  <si>
    <t>A757</t>
  </si>
  <si>
    <t>A758</t>
  </si>
  <si>
    <t>A759</t>
  </si>
  <si>
    <t>A760</t>
  </si>
  <si>
    <t>A761</t>
  </si>
  <si>
    <t>A762</t>
  </si>
  <si>
    <t>A763</t>
  </si>
  <si>
    <t>A764</t>
  </si>
  <si>
    <t>A765</t>
  </si>
  <si>
    <t>A766</t>
  </si>
  <si>
    <t>A767</t>
  </si>
  <si>
    <t>A768</t>
  </si>
  <si>
    <t>A769</t>
  </si>
  <si>
    <t>A770</t>
  </si>
  <si>
    <t>A771</t>
  </si>
  <si>
    <t>A772</t>
  </si>
  <si>
    <t>A773</t>
  </si>
  <si>
    <t>A774</t>
  </si>
  <si>
    <t>A775</t>
  </si>
  <si>
    <t>A776</t>
  </si>
  <si>
    <t>A777</t>
  </si>
  <si>
    <t>A778</t>
  </si>
  <si>
    <t>A779</t>
  </si>
  <si>
    <t>A780</t>
  </si>
  <si>
    <t>A781</t>
  </si>
  <si>
    <t>A782</t>
  </si>
  <si>
    <t>A783</t>
  </si>
  <si>
    <t>A784</t>
  </si>
  <si>
    <t>A785</t>
  </si>
  <si>
    <t>A786</t>
  </si>
  <si>
    <t>A787</t>
  </si>
  <si>
    <t>A788</t>
  </si>
  <si>
    <t>A789</t>
  </si>
  <si>
    <t>A790</t>
  </si>
  <si>
    <t>A791</t>
  </si>
  <si>
    <t>A792</t>
  </si>
  <si>
    <t>A793</t>
  </si>
  <si>
    <t>A794</t>
  </si>
  <si>
    <t>A795</t>
  </si>
  <si>
    <t>A796</t>
  </si>
  <si>
    <t>A797</t>
  </si>
  <si>
    <t>A798</t>
  </si>
  <si>
    <t>A799</t>
  </si>
  <si>
    <t>A800</t>
  </si>
  <si>
    <t>A801</t>
  </si>
  <si>
    <t>A802</t>
  </si>
  <si>
    <t>A803</t>
  </si>
  <si>
    <t>A804</t>
  </si>
  <si>
    <t>A805</t>
  </si>
  <si>
    <t>A806</t>
  </si>
  <si>
    <t>A807</t>
  </si>
  <si>
    <t>A808</t>
  </si>
  <si>
    <t>A809</t>
  </si>
  <si>
    <t>A810</t>
  </si>
  <si>
    <t>A811</t>
  </si>
  <si>
    <t>A812</t>
  </si>
  <si>
    <t>A813</t>
  </si>
  <si>
    <t>A814</t>
  </si>
  <si>
    <t>A815</t>
  </si>
  <si>
    <t>A816</t>
  </si>
  <si>
    <t>A817</t>
  </si>
  <si>
    <t>A818</t>
  </si>
  <si>
    <t>A819</t>
  </si>
  <si>
    <t>A820</t>
  </si>
  <si>
    <t>A821</t>
  </si>
  <si>
    <t>A822</t>
  </si>
  <si>
    <t>A823</t>
  </si>
  <si>
    <t>A824</t>
  </si>
  <si>
    <t>A825</t>
  </si>
  <si>
    <t>A826</t>
  </si>
  <si>
    <t>A827</t>
  </si>
  <si>
    <t>A828</t>
  </si>
  <si>
    <t>A829</t>
  </si>
  <si>
    <t>A830</t>
  </si>
  <si>
    <t>A831</t>
  </si>
  <si>
    <t>A832</t>
  </si>
  <si>
    <t>A833</t>
  </si>
  <si>
    <t>A834</t>
  </si>
  <si>
    <t>A835</t>
  </si>
  <si>
    <t>A836</t>
  </si>
  <si>
    <t>A837</t>
  </si>
  <si>
    <t>A838</t>
  </si>
  <si>
    <t>A839</t>
  </si>
  <si>
    <t>A840</t>
  </si>
  <si>
    <t>A841</t>
  </si>
  <si>
    <t>A842</t>
  </si>
  <si>
    <t>A843</t>
  </si>
  <si>
    <t>A844</t>
  </si>
  <si>
    <t>A845</t>
  </si>
  <si>
    <t>A846</t>
  </si>
  <si>
    <t>A847</t>
  </si>
  <si>
    <t>A848</t>
  </si>
  <si>
    <t>A849</t>
  </si>
  <si>
    <t>A850</t>
  </si>
  <si>
    <t>A851</t>
  </si>
  <si>
    <t>A852</t>
  </si>
  <si>
    <t>A853</t>
  </si>
  <si>
    <t>A854</t>
  </si>
  <si>
    <t>A855</t>
  </si>
  <si>
    <t>A856</t>
  </si>
  <si>
    <t>A857</t>
  </si>
  <si>
    <t>A858</t>
  </si>
  <si>
    <t>A859</t>
  </si>
  <si>
    <t>A860</t>
  </si>
  <si>
    <t>A861</t>
  </si>
  <si>
    <t>A862</t>
  </si>
  <si>
    <t>A863</t>
  </si>
  <si>
    <t>A864</t>
  </si>
  <si>
    <t>A865</t>
  </si>
  <si>
    <t>A866</t>
  </si>
  <si>
    <t>A867</t>
  </si>
  <si>
    <t>A868</t>
  </si>
  <si>
    <t>A869</t>
  </si>
  <si>
    <t>A870</t>
  </si>
  <si>
    <t>A871</t>
  </si>
  <si>
    <t>A872</t>
  </si>
  <si>
    <t>A873</t>
  </si>
  <si>
    <t>A874</t>
  </si>
  <si>
    <t>A875</t>
  </si>
  <si>
    <t>A876</t>
  </si>
  <si>
    <t>A877</t>
  </si>
  <si>
    <t>A878</t>
  </si>
  <si>
    <t>A879</t>
  </si>
  <si>
    <t>A880</t>
  </si>
  <si>
    <t>A881</t>
  </si>
  <si>
    <t>A882</t>
  </si>
  <si>
    <t>A883</t>
  </si>
  <si>
    <t>A884</t>
  </si>
  <si>
    <t>A885</t>
  </si>
  <si>
    <t>A886</t>
  </si>
  <si>
    <t>A887</t>
  </si>
  <si>
    <t>A888</t>
  </si>
  <si>
    <t>A889</t>
  </si>
  <si>
    <t>A890</t>
  </si>
  <si>
    <t>A891</t>
  </si>
  <si>
    <t>A892</t>
  </si>
  <si>
    <t>A893</t>
  </si>
  <si>
    <t>A894</t>
  </si>
  <si>
    <t>A895</t>
  </si>
  <si>
    <t>A896</t>
  </si>
  <si>
    <t>A897</t>
  </si>
  <si>
    <t>A898</t>
  </si>
  <si>
    <t>A899</t>
  </si>
  <si>
    <t>A900</t>
  </si>
  <si>
    <t>A901</t>
  </si>
  <si>
    <t>A902</t>
  </si>
  <si>
    <t>A903</t>
  </si>
  <si>
    <t>A904</t>
  </si>
  <si>
    <t>A905</t>
  </si>
  <si>
    <t>A906</t>
  </si>
  <si>
    <t>A907</t>
  </si>
  <si>
    <t>A908</t>
  </si>
  <si>
    <t>A909</t>
  </si>
  <si>
    <t>A910</t>
  </si>
  <si>
    <t>A911</t>
  </si>
  <si>
    <t>A912</t>
  </si>
  <si>
    <t>A913</t>
  </si>
  <si>
    <t>A914</t>
  </si>
  <si>
    <t>A915</t>
  </si>
  <si>
    <t>A916</t>
  </si>
  <si>
    <t>A917</t>
  </si>
  <si>
    <t>A918</t>
  </si>
  <si>
    <t>A919</t>
  </si>
  <si>
    <t>A920</t>
  </si>
  <si>
    <t>A921</t>
  </si>
  <si>
    <t>A922</t>
  </si>
  <si>
    <t>A923</t>
  </si>
  <si>
    <t>A924</t>
  </si>
  <si>
    <t>A925</t>
  </si>
  <si>
    <t>A926</t>
  </si>
  <si>
    <t>A927</t>
  </si>
  <si>
    <t>A928</t>
  </si>
  <si>
    <t>A929</t>
  </si>
  <si>
    <t>A930</t>
  </si>
  <si>
    <t>A931</t>
  </si>
  <si>
    <t>A932</t>
  </si>
  <si>
    <t>A933</t>
  </si>
  <si>
    <t>A934</t>
  </si>
  <si>
    <t>A935</t>
  </si>
  <si>
    <t>A936</t>
  </si>
  <si>
    <t>A937</t>
  </si>
  <si>
    <t>A938</t>
  </si>
  <si>
    <t>A939</t>
  </si>
  <si>
    <t>A940</t>
  </si>
  <si>
    <t>A941</t>
  </si>
  <si>
    <t>A942</t>
  </si>
  <si>
    <t>A943</t>
  </si>
  <si>
    <t>A944</t>
  </si>
  <si>
    <t>A945</t>
  </si>
  <si>
    <t>A946</t>
  </si>
  <si>
    <t>A947</t>
  </si>
  <si>
    <t>A948</t>
  </si>
  <si>
    <t>A949</t>
  </si>
  <si>
    <t>A950</t>
  </si>
  <si>
    <t>A951</t>
  </si>
  <si>
    <t>A952</t>
  </si>
  <si>
    <t>A953</t>
  </si>
  <si>
    <t>A954</t>
  </si>
  <si>
    <t>A955</t>
  </si>
  <si>
    <t>A956</t>
  </si>
  <si>
    <t>A957</t>
  </si>
  <si>
    <t>A958</t>
  </si>
  <si>
    <t>A959</t>
  </si>
  <si>
    <t>A960</t>
  </si>
  <si>
    <t>A961</t>
  </si>
  <si>
    <t>A962</t>
  </si>
  <si>
    <t>A963</t>
  </si>
  <si>
    <t>A964</t>
  </si>
  <si>
    <t>A965</t>
  </si>
  <si>
    <t>A966</t>
  </si>
  <si>
    <t>A967</t>
  </si>
  <si>
    <t>A968</t>
  </si>
  <si>
    <t>A969</t>
  </si>
  <si>
    <t>A970</t>
  </si>
  <si>
    <t>A971</t>
  </si>
  <si>
    <t>A972</t>
  </si>
  <si>
    <t>A973</t>
  </si>
  <si>
    <t>A974</t>
  </si>
  <si>
    <t>A975</t>
  </si>
  <si>
    <t>A976</t>
  </si>
  <si>
    <t>A977</t>
  </si>
  <si>
    <t>A978</t>
  </si>
  <si>
    <t>A979</t>
  </si>
  <si>
    <t>A980</t>
  </si>
  <si>
    <t>A981</t>
  </si>
  <si>
    <t>A982</t>
  </si>
  <si>
    <t>A983</t>
  </si>
  <si>
    <t>A984</t>
  </si>
  <si>
    <t>A985</t>
  </si>
  <si>
    <t>A986</t>
  </si>
  <si>
    <t>A987</t>
  </si>
  <si>
    <t>A988</t>
  </si>
  <si>
    <t>A989</t>
  </si>
  <si>
    <t>A990</t>
  </si>
  <si>
    <t>A991</t>
  </si>
  <si>
    <t>A992</t>
  </si>
  <si>
    <t>A993</t>
  </si>
  <si>
    <t>A994</t>
  </si>
  <si>
    <t>A995</t>
  </si>
  <si>
    <t>A996</t>
  </si>
  <si>
    <t>A997</t>
  </si>
  <si>
    <t>A998</t>
  </si>
  <si>
    <t>A999</t>
  </si>
  <si>
    <t>A1000</t>
  </si>
  <si>
    <t>A1001</t>
  </si>
  <si>
    <t>A1002</t>
  </si>
  <si>
    <t>A1003</t>
  </si>
  <si>
    <t>A1004</t>
  </si>
  <si>
    <t>A1005</t>
  </si>
  <si>
    <t>A1006</t>
  </si>
  <si>
    <t>A1007</t>
  </si>
  <si>
    <t>A1008</t>
  </si>
  <si>
    <t>A1009</t>
  </si>
  <si>
    <t>A1010</t>
  </si>
  <si>
    <t>A1011</t>
  </si>
  <si>
    <t>A1012</t>
  </si>
  <si>
    <t>A1013</t>
  </si>
  <si>
    <t>A1014</t>
  </si>
  <si>
    <t>A1015</t>
  </si>
  <si>
    <t>A1016</t>
  </si>
  <si>
    <t>A1017</t>
  </si>
  <si>
    <t>A1018</t>
  </si>
  <si>
    <t>A1019</t>
  </si>
  <si>
    <t>A1020</t>
  </si>
  <si>
    <t>A1021</t>
  </si>
  <si>
    <t>A1022</t>
  </si>
  <si>
    <t>A1023</t>
  </si>
  <si>
    <t>A1024</t>
  </si>
  <si>
    <t>A1025</t>
  </si>
  <si>
    <t>A1026</t>
  </si>
  <si>
    <t>A1027</t>
  </si>
  <si>
    <t>A1028</t>
  </si>
  <si>
    <t>A1029</t>
  </si>
  <si>
    <t>A1030</t>
  </si>
  <si>
    <t>A1031</t>
  </si>
  <si>
    <t>A1032</t>
  </si>
  <si>
    <t>A1033</t>
  </si>
  <si>
    <t>A1034</t>
  </si>
  <si>
    <t>A1035</t>
  </si>
  <si>
    <t>A1036</t>
  </si>
  <si>
    <t>Last 28 Days</t>
  </si>
  <si>
    <t>Previous 28 Days</t>
  </si>
  <si>
    <t>Day</t>
  </si>
  <si>
    <t>Month</t>
  </si>
  <si>
    <t>Row Labels</t>
  </si>
  <si>
    <t>Grand Total</t>
  </si>
  <si>
    <t>Jan</t>
  </si>
  <si>
    <t>Feb</t>
  </si>
  <si>
    <t>Mar</t>
  </si>
  <si>
    <t>Apr</t>
  </si>
  <si>
    <t>May</t>
  </si>
  <si>
    <t>Jun</t>
  </si>
  <si>
    <t>Jul</t>
  </si>
  <si>
    <t>Aug</t>
  </si>
  <si>
    <t>Sep</t>
  </si>
  <si>
    <t>Oct</t>
  </si>
  <si>
    <t>Nov</t>
  </si>
  <si>
    <t>Dec</t>
  </si>
  <si>
    <t>Sum of Amount</t>
  </si>
  <si>
    <t>Count of Seller</t>
  </si>
  <si>
    <t>Sum of Qty</t>
  </si>
  <si>
    <t>Count of Region</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</si>
  <si>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</si>
  <si>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</si>
  <si>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</si>
  <si>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</si>
  <si>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</si>
  <si>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</si>
  <si>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</si>
  <si>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</si>
  <si>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</si>
  <si>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</si>
  <si>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</si>
  <si>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</si>
  <si>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</si>
  <si>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</si>
  <si>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</si>
  <si>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</si>
  <si>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</si>
  <si>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</si>
  <si>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</si>
  <si>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</si>
  <si>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</si>
  <si>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</si>
  <si>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</si>
  <si>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</si>
  <si>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</si>
  <si>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</si>
  <si>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</si>
  <si>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</si>
  <si>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</si>
  <si>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</si>
  <si>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</si>
  <si>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Count of Salesman</t>
  </si>
  <si>
    <t>EMP ID:</t>
  </si>
  <si>
    <t>EMAIL ID:</t>
  </si>
  <si>
    <t>PHONE NO:</t>
  </si>
  <si>
    <t>STATES:</t>
  </si>
  <si>
    <t>GENDER:</t>
  </si>
  <si>
    <t>Aadhar No :</t>
  </si>
  <si>
    <t>DOB :</t>
  </si>
  <si>
    <t>NAME:</t>
  </si>
  <si>
    <t xml:space="preserve">          Terms &amp; Conditions</t>
  </si>
  <si>
    <t>write your al Terms and Condition</t>
  </si>
  <si>
    <t>CLEAR</t>
  </si>
  <si>
    <t>SUMBIT</t>
  </si>
  <si>
    <t>EMP ID</t>
  </si>
  <si>
    <t>NAME</t>
  </si>
  <si>
    <t>EMAIL ID</t>
  </si>
  <si>
    <t>PHONE NO</t>
  </si>
  <si>
    <t>STATES</t>
  </si>
  <si>
    <t>GENDER</t>
  </si>
  <si>
    <t xml:space="preserve">Aadhar No </t>
  </si>
  <si>
    <t>DOB</t>
  </si>
  <si>
    <t>MALE</t>
  </si>
  <si>
    <t>n@.com</t>
  </si>
  <si>
    <t>Assam</t>
  </si>
  <si>
    <t>niljhd</t>
  </si>
  <si>
    <t>Bihar</t>
  </si>
  <si>
    <t/>
  </si>
  <si>
    <t>j</t>
  </si>
  <si>
    <t>j@.com</t>
  </si>
  <si>
    <t>atul</t>
  </si>
  <si>
    <t>atul@.com</t>
  </si>
  <si>
    <t>Chhattisgarh</t>
  </si>
  <si>
    <t>manish singh</t>
  </si>
  <si>
    <t>ps926634 2@gmail.com</t>
  </si>
  <si>
    <t>Odisha</t>
  </si>
  <si>
    <t>nilesh kumar</t>
  </si>
  <si>
    <t>nk@gmail.com</t>
  </si>
  <si>
    <t>Arunachal Pradesh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</si>
</sst>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2" x14ac:knownFonts="1">
    <font>
      <sz val="11"/>
      <color theme="1"/>
      <name val="Calibri"/>
      <family val="2"/>
      <scheme val="minor"/>
    </font>
    <font>
      <b/>
      <sz val="11"/>
      <color theme="1"/>
      <name val="Calibri"/>
      <family val="2"/>
      <scheme val="minor"/>
    </font>
    <font>
      <b/>
      <sz val="14"/>
      <color theme="1"/>
      <name val="Calibri"/>
      <family val="2"/>
      <scheme val="minor"/>
    </font>
    <font>
      <sz val="11"/>
      <color rgb="FFFF0000"/>
      <name val="Calibri"/>
      <family val="2"/>
      <scheme val="minor"/>
    </font>
    <font>
      <sz val="11"/>
      <color theme="1" tint="4.9989318521683403E-2"/>
      <name val="Calibri"/>
      <family val="2"/>
      <scheme val="minor"/>
    </font>
    <font>
      <sz val="16"/>
      <color rgb="FFFF0000"/>
      <name val="Calibri"/>
      <family val="2"/>
      <scheme val="minor"/>
    </font>
    <font>
      <sz val="16"/>
      <color rgb="FFC00000"/>
      <name val="Calibri"/>
      <family val="2"/>
      <scheme val="minor"/>
    </font>
    <font>
      <sz val="11"/>
      <color theme="1"/>
      <name val="Wingdings 2"/>
      <family val="1"/>
      <charset val="2"/>
    </font>
    <font>
      <u/>
      <sz val="11"/>
      <color theme="10"/>
      <name val="Calibri"/>
      <family val="2"/>
      <scheme val="minor"/>
    </font>
    <font>
      <sz val="11"/>
      <color rgb="FFFFFF00"/>
      <name val="Calibri"/>
      <family val="2"/>
      <scheme val="minor"/>
    </font>
    <font>
      <sz val="11"/>
      <color theme="4" tint="-0.499984740745262"/>
      <name val="Calibri"/>
      <family val="2"/>
      <scheme val="minor"/>
    </font>
    <font>
      <sz val="8"/>
      <color rgb="FF000000"/>
      <name val="Segoe UI"/>
      <family val="2"/>
    </font>
  </fonts>
  <fills count="10">
    <fill>
      <patternFill patternType="none"/>
    </fill>
    <fill>
      <patternFill patternType="gray125"/>
    </fill>
    <fill>
      <patternFill patternType="solid">
        <fgColor rgb="FFFFFF00"/>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9"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0" fontId="8" fillId="0" borderId="0" applyNumberFormat="0" applyFill="0" applyBorder="0" applyAlignment="0" applyProtection="0"/>
  </cellStyleXfs>
  <cellXfs count="55">
    <xf numFmtId="0" fontId="0" fillId="0" borderId="0" xfId="0"/>
    <xf numFmtId="0" fontId="2" fillId="2" borderId="1" xfId="0" applyFont="1" applyFill="1" applyBorder="1" applyAlignment="1">
      <alignment horizontal="left"/>
    </xf>
    <xf numFmtId="0" fontId="2" fillId="2" borderId="1" xfId="0" applyFont="1" applyFill="1" applyBorder="1" applyAlignment="1">
      <alignment horizontal="center"/>
    </xf>
    <xf numFmtId="0" fontId="2" fillId="2" borderId="1" xfId="0" applyFont="1" applyFill="1" applyBorder="1"/>
    <xf numFmtId="164" fontId="2" fillId="2" borderId="1" xfId="0" applyNumberFormat="1" applyFont="1" applyFill="1" applyBorder="1"/>
    <xf numFmtId="0" fontId="0" fillId="0" borderId="1" xfId="0" applyBorder="1" applyAlignment="1">
      <alignment horizontal="left"/>
    </xf>
    <xf numFmtId="14" fontId="0" fillId="0" borderId="1" xfId="0" applyNumberFormat="1" applyBorder="1" applyAlignment="1">
      <alignment horizontal="center"/>
    </xf>
    <xf numFmtId="0" fontId="0" fillId="0" borderId="1" xfId="0" applyBorder="1"/>
    <xf numFmtId="164" fontId="0" fillId="0" borderId="1" xfId="0" applyNumberFormat="1" applyBorder="1"/>
    <xf numFmtId="0" fontId="1" fillId="2" borderId="2" xfId="0" applyFont="1" applyFill="1" applyBorder="1" applyAlignment="1">
      <alignment horizontal="left"/>
    </xf>
    <xf numFmtId="0" fontId="0" fillId="0" borderId="3" xfId="0" applyBorder="1" applyAlignment="1">
      <alignment horizontal="left"/>
    </xf>
    <xf numFmtId="0" fontId="1" fillId="2" borderId="4" xfId="0" applyFont="1" applyFill="1" applyBorder="1" applyAlignment="1">
      <alignment horizontal="left"/>
    </xf>
    <xf numFmtId="0" fontId="0" fillId="0" borderId="5" xfId="0" applyBorder="1" applyAlignment="1">
      <alignment horizontal="left"/>
    </xf>
    <xf numFmtId="0" fontId="0" fillId="0" borderId="6" xfId="0" applyBorder="1" applyAlignment="1">
      <alignment horizontal="left"/>
    </xf>
    <xf numFmtId="0" fontId="0" fillId="0" borderId="3" xfId="0" applyBorder="1"/>
    <xf numFmtId="0" fontId="1" fillId="2" borderId="7" xfId="0" applyFont="1" applyFill="1" applyBorder="1" applyAlignment="1">
      <alignment horizontal="left"/>
    </xf>
    <xf numFmtId="0" fontId="0" fillId="0" borderId="8" xfId="0" applyBorder="1"/>
    <xf numFmtId="0" fontId="0" fillId="0" borderId="9" xfId="0" applyBorder="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3" fontId="0" fillId="0" borderId="0" xfId="0" applyNumberFormat="1"/>
    <xf numFmtId="10" fontId="0" fillId="0" borderId="0" xfId="0" applyNumberFormat="1"/>
    <xf numFmtId="0" fontId="0" fillId="3" borderId="0" xfId="0" applyFill="1"/>
    <xf numFmtId="0" fontId="0" fillId="4" borderId="0" xfId="0" applyFill="1"/>
    <xf numFmtId="0" fontId="0" fillId="5" borderId="0" xfId="0" applyFill="1"/>
    <xf numFmtId="0" fontId="0" fillId="6" borderId="0" xfId="0" applyFill="1"/>
    <xf numFmtId="0" fontId="0" fillId="7" borderId="10" xfId="0" applyFill="1" applyBorder="1"/>
    <xf numFmtId="0" fontId="3" fillId="6" borderId="0" xfId="0" applyFont="1" applyFill="1"/>
    <xf numFmtId="0" fontId="6" fillId="6" borderId="0" xfId="0" applyFont="1" applyFill="1"/>
    <xf numFmtId="0" fontId="0" fillId="7" borderId="0" xfId="0" applyFill="1" applyBorder="1"/>
    <xf numFmtId="0" fontId="0" fillId="6" borderId="0" xfId="0" applyFill="1" applyBorder="1"/>
    <xf numFmtId="0" fontId="7" fillId="7" borderId="0" xfId="0" applyFont="1" applyFill="1" applyBorder="1"/>
    <xf numFmtId="0" fontId="8" fillId="7" borderId="10" xfId="1" applyFill="1" applyBorder="1"/>
    <xf numFmtId="0" fontId="7" fillId="6" borderId="0" xfId="0" applyFont="1" applyFill="1" applyBorder="1"/>
    <xf numFmtId="1" fontId="0" fillId="7" borderId="10" xfId="0" applyNumberFormat="1" applyFill="1" applyBorder="1"/>
    <xf numFmtId="0" fontId="9" fillId="6" borderId="0" xfId="0" applyFont="1" applyFill="1"/>
    <xf numFmtId="14" fontId="0" fillId="7" borderId="10" xfId="0" applyNumberFormat="1" applyFill="1" applyBorder="1"/>
    <xf numFmtId="0" fontId="10" fillId="3" borderId="0" xfId="0" applyFont="1" applyFill="1" applyAlignment="1">
      <alignment horizontal="center" vertical="center"/>
    </xf>
    <xf numFmtId="0" fontId="4" fillId="9" borderId="0" xfId="0" applyFont="1" applyFill="1" applyAlignment="1">
      <alignment horizontal="center" vertical="center"/>
    </xf>
    <xf numFmtId="1" fontId="0" fillId="0" borderId="0" xfId="0" applyNumberFormat="1"/>
    <xf numFmtId="14" fontId="0" fillId="0" borderId="0" xfId="0" applyNumberFormat="1"/>
    <xf numFmtId="14" fontId="0" fillId="4" borderId="0" xfId="0" applyNumberFormat="1" applyFill="1"/>
    <xf numFmtId="0" fontId="5" fillId="6" borderId="0" xfId="0" applyFont="1" applyFill="1" applyAlignment="1">
      <alignment horizontal="center"/>
    </xf>
    <xf numFmtId="0" fontId="0" fillId="6" borderId="0" xfId="0" applyFill="1" applyAlignment="1">
      <alignment horizontal="center"/>
    </xf>
    <xf numFmtId="0" fontId="0" fillId="8" borderId="9" xfId="0" applyFill="1" applyBorder="1" applyAlignment="1">
      <alignment horizontal="center"/>
    </xf>
    <xf numFmtId="0" fontId="0" fillId="8" borderId="11" xfId="0" applyFill="1" applyBorder="1" applyAlignment="1">
      <alignment horizontal="center"/>
    </xf>
    <xf numFmtId="0" fontId="0" fillId="8" borderId="6" xfId="0" applyFill="1" applyBorder="1" applyAlignment="1">
      <alignment horizontal="center"/>
    </xf>
    <xf numFmtId="0" fontId="0" fillId="8" borderId="12" xfId="0" applyFill="1" applyBorder="1" applyAlignment="1">
      <alignment horizontal="center"/>
    </xf>
    <xf numFmtId="0" fontId="0" fillId="8" borderId="0" xfId="0" applyFill="1" applyBorder="1" applyAlignment="1">
      <alignment horizontal="center"/>
    </xf>
    <xf numFmtId="0" fontId="0" fillId="8" borderId="13" xfId="0" applyFill="1" applyBorder="1" applyAlignment="1">
      <alignment horizontal="center"/>
    </xf>
    <xf numFmtId="0" fontId="0" fillId="8" borderId="7" xfId="0" applyFill="1" applyBorder="1" applyAlignment="1">
      <alignment horizontal="center"/>
    </xf>
    <xf numFmtId="0" fontId="0" fillId="8" borderId="10" xfId="0" applyFill="1" applyBorder="1" applyAlignment="1">
      <alignment horizontal="center"/>
    </xf>
    <xf numFmtId="0" fontId="0" fillId="8" borderId="4" xfId="0" applyFill="1" applyBorder="1" applyAlignment="1">
      <alignment horizontal="center"/>
    </xf>
  </cellXfs>
  <cellStyles count="2">
    <cellStyle name="Hyperlink" xfId="1" builtinId="8"/>
    <cellStyle name="Normal" xfId="0" builtinId="0"/>
  </cellStyles>
  <dxfs count="1">
    <dxf>
      <font>
        <b/>
        <i val="0"/>
        <color theme="0"/>
      </font>
      <fill>
        <patternFill>
          <bgColor theme="9" tint="-0.499984740745262"/>
        </patternFill>
      </fill>
    </dxf>
  </dxfs>
  <tableStyles count="1" defaultTableStyle="TableStyleMedium2" defaultPivotStyle="PivotStyleLight16">
    <tableStyle name="Invisible" pivot="0" table="0" count="0" xr9:uid="{3995AB6D-DF37-49F1-833C-3A41610B7A8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[PROJECTINT213.xlsm]Sheet3!PivotTable14</c:name>
    <c:fmtId val="4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Sheet3!$B$122</c:f>
              <c:strCache>
                <c:ptCount val="1"/>
                <c:pt idx="0">
                  <c:v>Total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Sheet3!$A$123:$A$126</c:f>
              <c:strCache>
                <c:ptCount val="3"/>
                <c:pt idx="0">
                  <c:v>Ajit Kumar</c:v>
                </c:pt>
                <c:pt idx="1">
                  <c:v>Rohit Das</c:v>
                </c:pt>
                <c:pt idx="2">
                  <c:v>Siddhu</c:v>
                </c:pt>
              </c:strCache>
            </c:strRef>
          </c:cat>
          <c:val>
            <c:numRef>
              <c:f>Sheet3!$B$123:$B$126</c:f>
              <c:numCache>
                <c:formatCode>General</c:formatCode>
                <c:ptCount val="3"/>
                <c:pt idx="0">
                  <c:v>394</c:v>
                </c:pt>
                <c:pt idx="1">
                  <c:v>360</c:v>
                </c:pt>
                <c:pt idx="2">
                  <c:v>419</c:v>
                </c:pt>
              </c:numCache>
            </c:numRef>
          </c:val>
          <c:extLst>
            <c:ext xmlns:c16="http://schemas.microsoft.com/office/drawing/2014/chart" uri="{C3380CC4-5D6E-409C-BE32-E72D297353CC}">
              <c16:uniqueId val="{00000000-48CA-4ED2-8F0D-E7DD4834B7DB}"/>
            </c:ext>
          </c:extLst>
        </c:ser>
        <c:dLbls>
          <c:showLegendKey val="0"/>
          <c:showVal val="0"/>
          <c:showCatName val="0"/>
          <c:showSerName val="0"/>
          <c:showPercent val="0"/>
          <c:showBubbleSize val="0"/>
        </c:dLbls>
        <c:gapWidth val="182"/>
        <c:axId val="1907452768"/>
        <c:axId val="1907451520"/>
      </c:barChart>
      <c:catAx>
        <c:axId val="19074527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7451520"/>
        <c:crosses val="autoZero"/>
        <c:auto val="1"/>
        <c:lblAlgn val="ctr"/>
        <c:lblOffset val="100"/>
        <c:noMultiLvlLbl val="0"/>
      </c:catAx>
      <c:valAx>
        <c:axId val="1907451520"/>
        <c:scaling>
          <c:orientation val="minMax"/>
        </c:scaling>
        <c:delete val="1"/>
        <c:axPos val="b"/>
        <c:numFmt formatCode="General" sourceLinked="1"/>
        <c:majorTickMark val="none"/>
        <c:minorTickMark val="none"/>
        <c:tickLblPos val="nextTo"/>
        <c:crossAx val="190745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[PROJECTINT213.xlsm]Sheet3!PivotTable17</c:name>
    <c:fmtId val="4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Sheet3!$B$136</c:f>
              <c:strCache>
                <c:ptCount val="1"/>
                <c:pt idx="0">
                  <c:v>Total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Sheet3!$A$137:$A$140</c:f>
              <c:strCache>
                <c:ptCount val="3"/>
                <c:pt idx="0">
                  <c:v>Amit</c:v>
                </c:pt>
                <c:pt idx="1">
                  <c:v>Chandu</c:v>
                </c:pt>
                <c:pt idx="2">
                  <c:v>Ramesh</c:v>
                </c:pt>
              </c:strCache>
            </c:strRef>
          </c:cat>
          <c:val>
            <c:numRef>
              <c:f>Sheet3!$B$137:$B$140</c:f>
              <c:numCache>
                <c:formatCode>General</c:formatCode>
                <c:ptCount val="3"/>
                <c:pt idx="0">
                  <c:v>146</c:v>
                </c:pt>
                <c:pt idx="1">
                  <c:v>144</c:v>
                </c:pt>
                <c:pt idx="2">
                  <c:v>144</c:v>
                </c:pt>
              </c:numCache>
            </c:numRef>
          </c:val>
          <c:extLst>
            <c:ext xmlns:c16="http://schemas.microsoft.com/office/drawing/2014/chart" uri="{C3380CC4-5D6E-409C-BE32-E72D297353CC}">
              <c16:uniqueId val="{00000000-4AF6-4453-9F44-E7FD1DD71FFB}"/>
            </c:ext>
          </c:extLst>
        </c:ser>
        <c:dLbls>
          <c:showLegendKey val="0"/>
          <c:showVal val="0"/>
          <c:showCatName val="0"/>
          <c:showSerName val="0"/>
          <c:showPercent val="0"/>
          <c:showBubbleSize val="0"/>
        </c:dLbls>
        <c:gapWidth val="182"/>
        <c:axId val="1980542736"/>
        <c:axId val="1980548560"/>
      </c:barChart>
      <c:catAx>
        <c:axId val="1980542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0548560"/>
        <c:crosses val="autoZero"/>
        <c:auto val="1"/>
        <c:lblAlgn val="ctr"/>
        <c:lblOffset val="100"/>
        <c:noMultiLvlLbl val="0"/>
      </c:catAx>
      <c:valAx>
        <c:axId val="1980548560"/>
        <c:scaling>
          <c:orientation val="minMax"/>
        </c:scaling>
        <c:delete val="1"/>
        <c:axPos val="b"/>
        <c:numFmt formatCode="General" sourceLinked="1"/>
        <c:majorTickMark val="none"/>
        <c:minorTickMark val="none"/>
        <c:tickLblPos val="nextTo"/>
        <c:crossAx val="198054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[PROJECTINT213.xlsm]Sheet3!PivotTable13</c:name>
    <c:fmtId val="4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Sheet3!$B$109</c:f>
              <c:strCache>
                <c:ptCount val="1"/>
                <c:pt idx="0">
                  <c:v>Total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Sheet3!$A$110:$A$116</c:f>
              <c:strCache>
                <c:ptCount val="6"/>
                <c:pt idx="0">
                  <c:v>Ajit Kumar</c:v>
                </c:pt>
                <c:pt idx="1">
                  <c:v>Amit</c:v>
                </c:pt>
                <c:pt idx="2">
                  <c:v>Chandu</c:v>
                </c:pt>
                <c:pt idx="3">
                  <c:v>Ramesh</c:v>
                </c:pt>
                <c:pt idx="4">
                  <c:v>Rohit Das</c:v>
                </c:pt>
                <c:pt idx="5">
                  <c:v>Siddhu</c:v>
                </c:pt>
              </c:strCache>
            </c:strRef>
          </c:cat>
          <c:val>
            <c:numRef>
              <c:f>Sheet3!$B$110:$B$116</c:f>
              <c:numCache>
                <c:formatCode>General</c:formatCode>
                <c:ptCount val="6"/>
                <c:pt idx="0">
                  <c:v>386030</c:v>
                </c:pt>
                <c:pt idx="1">
                  <c:v>184690</c:v>
                </c:pt>
                <c:pt idx="2">
                  <c:v>125600</c:v>
                </c:pt>
                <c:pt idx="3">
                  <c:v>139880</c:v>
                </c:pt>
                <c:pt idx="4">
                  <c:v>394410</c:v>
                </c:pt>
                <c:pt idx="5">
                  <c:v>551960</c:v>
                </c:pt>
              </c:numCache>
            </c:numRef>
          </c:val>
          <c:extLst>
            <c:ext xmlns:c16="http://schemas.microsoft.com/office/drawing/2014/chart" uri="{C3380CC4-5D6E-409C-BE32-E72D297353CC}">
              <c16:uniqueId val="{00000000-658C-41AE-80A1-9DF7CF1EC072}"/>
            </c:ext>
          </c:extLst>
        </c:ser>
        <c:dLbls>
          <c:showLegendKey val="0"/>
          <c:showVal val="0"/>
          <c:showCatName val="0"/>
          <c:showSerName val="0"/>
          <c:showPercent val="0"/>
          <c:showBubbleSize val="0"/>
        </c:dLbls>
        <c:gapWidth val="219"/>
        <c:overlap val="-27"/>
        <c:axId val="1989310176"/>
        <c:axId val="1989310592"/>
      </c:barChart>
      <c:catAx>
        <c:axId val="198931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310592"/>
        <c:crosses val="autoZero"/>
        <c:auto val="1"/>
        <c:lblAlgn val="ctr"/>
        <c:lblOffset val="100"/>
        <c:noMultiLvlLbl val="0"/>
      </c:catAx>
      <c:valAx>
        <c:axId val="1989310592"/>
        <c:scaling>
          <c:orientation val="minMax"/>
        </c:scaling>
        <c:delete val="1"/>
        <c:axPos val="l"/>
        <c:numFmt formatCode="General" sourceLinked="1"/>
        <c:majorTickMark val="none"/>
        <c:minorTickMark val="none"/>
        <c:tickLblPos val="nextTo"/>
        <c:crossAx val="19893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[PROJECTINT213.xlsm]Sheet3!PivotTable10</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Sheet3!$B$73</c:f>
              <c:strCache>
                <c:ptCount val="1"/>
                <c:pt idx="0">
                  <c:v>Total</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Sheet3!$A$74:$A$80</c:f>
              <c:strCache>
                <c:ptCount val="6"/>
                <c:pt idx="0">
                  <c:v>Keyboard</c:v>
                </c:pt>
                <c:pt idx="1">
                  <c:v>Monitor</c:v>
                </c:pt>
                <c:pt idx="2">
                  <c:v>Mouse</c:v>
                </c:pt>
                <c:pt idx="3">
                  <c:v>Printer</c:v>
                </c:pt>
                <c:pt idx="4">
                  <c:v>Scanner</c:v>
                </c:pt>
                <c:pt idx="5">
                  <c:v>Speaker</c:v>
                </c:pt>
              </c:strCache>
            </c:strRef>
          </c:cat>
          <c:val>
            <c:numRef>
              <c:f>Sheet3!$B$74:$B$80</c:f>
              <c:numCache>
                <c:formatCode>General</c:formatCode>
                <c:ptCount val="6"/>
                <c:pt idx="0">
                  <c:v>132</c:v>
                </c:pt>
                <c:pt idx="1">
                  <c:v>251</c:v>
                </c:pt>
                <c:pt idx="2">
                  <c:v>319</c:v>
                </c:pt>
                <c:pt idx="3">
                  <c:v>445</c:v>
                </c:pt>
                <c:pt idx="4">
                  <c:v>242</c:v>
                </c:pt>
                <c:pt idx="5">
                  <c:v>218</c:v>
                </c:pt>
              </c:numCache>
            </c:numRef>
          </c:val>
          <c:extLst>
            <c:ext xmlns:c16="http://schemas.microsoft.com/office/drawing/2014/chart" uri="{C3380CC4-5D6E-409C-BE32-E72D297353CC}">
              <c16:uniqueId val="{00000000-C69D-4776-93FA-F1B7A457954B}"/>
            </c:ext>
          </c:extLst>
        </c:ser>
        <c:dLbls>
          <c:showLegendKey val="0"/>
          <c:showVal val="0"/>
          <c:showCatName val="0"/>
          <c:showSerName val="0"/>
          <c:showPercent val="0"/>
          <c:showBubbleSize val="0"/>
        </c:dLbls>
        <c:gapWidth val="219"/>
        <c:overlap val="-27"/>
        <c:axId val="1976028240"/>
        <c:axId val="1976029072"/>
      </c:barChart>
      <c:catAx>
        <c:axId val="197602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029072"/>
        <c:crosses val="autoZero"/>
        <c:auto val="1"/>
        <c:lblAlgn val="ctr"/>
        <c:lblOffset val="100"/>
        <c:noMultiLvlLbl val="0"/>
      </c:catAx>
      <c:valAx>
        <c:axId val="1976029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028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[PROJECTINT213.xlsm]Sheet3!PivotTable11</c:name>
    <c:fmtId val="3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Sheet3!$B$86</c:f>
              <c:strCache>
                <c:ptCount val="1"/>
                <c:pt idx="0">
                  <c:v>Total</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Sheet3!$A$87:$A$90</c:f>
              <c:strCache>
                <c:ptCount val="3"/>
                <c:pt idx="0">
                  <c:v>Monitor</c:v>
                </c:pt>
                <c:pt idx="1">
                  <c:v>Mouse</c:v>
                </c:pt>
                <c:pt idx="2">
                  <c:v>Printer</c:v>
                </c:pt>
              </c:strCache>
            </c:strRef>
          </c:cat>
          <c:val>
            <c:numRef>
              <c:f>Sheet3!$B$87:$B$90</c:f>
              <c:numCache>
                <c:formatCode>General</c:formatCode>
                <c:ptCount val="3"/>
                <c:pt idx="0">
                  <c:v>251</c:v>
                </c:pt>
                <c:pt idx="1">
                  <c:v>319</c:v>
                </c:pt>
                <c:pt idx="2">
                  <c:v>445</c:v>
                </c:pt>
              </c:numCache>
            </c:numRef>
          </c:val>
          <c:extLst>
            <c:ext xmlns:c16="http://schemas.microsoft.com/office/drawing/2014/chart" uri="{C3380CC4-5D6E-409C-BE32-E72D297353CC}">
              <c16:uniqueId val="{00000000-9A98-435A-833B-7F2F6096B8E8}"/>
            </c:ext>
          </c:extLst>
        </c:ser>
        <c:dLbls>
          <c:showLegendKey val="0"/>
          <c:showVal val="0"/>
          <c:showCatName val="0"/>
          <c:showSerName val="0"/>
          <c:showPercent val="0"/>
          <c:showBubbleSize val="0"/>
        </c:dLbls>
        <c:gapWidth val="182"/>
        <c:axId val="11748463"/>
        <c:axId val="11746383"/>
      </c:barChart>
      <c:catAx>
        <c:axId val="11748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6383"/>
        <c:crosses val="autoZero"/>
        <c:auto val="1"/>
        <c:lblAlgn val="ctr"/>
        <c:lblOffset val="100"/>
        <c:noMultiLvlLbl val="0"/>
      </c:catAx>
      <c:valAx>
        <c:axId val="11746383"/>
        <c:scaling>
          <c:orientation val="minMax"/>
        </c:scaling>
        <c:delete val="1"/>
        <c:axPos val="b"/>
        <c:numFmt formatCode="General" sourceLinked="1"/>
        <c:majorTickMark val="none"/>
        <c:minorTickMark val="none"/>
        <c:tickLblPos val="nextTo"/>
        <c:crossAx val="11748463"/>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[PROJECTINT213.xlsm]Sheet3!PivotTable12</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Sheet3!$B$100</c:f>
              <c:strCache>
                <c:ptCount val="1"/>
                <c:pt idx="0">
                  <c:v>Total</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1"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Sheet3!$A$101:$A$104</c:f>
              <c:strCache>
                <c:ptCount val="3"/>
                <c:pt idx="0">
                  <c:v>Keyboard</c:v>
                </c:pt>
                <c:pt idx="1">
                  <c:v>Scanner</c:v>
                </c:pt>
                <c:pt idx="2">
                  <c:v>Speaker</c:v>
                </c:pt>
              </c:strCache>
            </c:strRef>
          </c:cat>
          <c:val>
            <c:numRef>
              <c:f>Sheet3!$B$101:$B$104</c:f>
              <c:numCache>
                <c:formatCode>General</c:formatCode>
                <c:ptCount val="3"/>
                <c:pt idx="0">
                  <c:v>132</c:v>
                </c:pt>
                <c:pt idx="1">
                  <c:v>242</c:v>
                </c:pt>
                <c:pt idx="2">
                  <c:v>218</c:v>
                </c:pt>
              </c:numCache>
            </c:numRef>
          </c:val>
          <c:extLst>
            <c:ext xmlns:c16="http://schemas.microsoft.com/office/drawing/2014/chart" uri="{C3380CC4-5D6E-409C-BE32-E72D297353CC}">
              <c16:uniqueId val="{00000000-077F-4DB9-892D-9EB0C11FE535}"/>
            </c:ext>
          </c:extLst>
        </c:ser>
        <c:dLbls>
          <c:showLegendKey val="0"/>
          <c:showVal val="0"/>
          <c:showCatName val="0"/>
          <c:showSerName val="0"/>
          <c:showPercent val="0"/>
          <c:showBubbleSize val="0"/>
        </c:dLbls>
        <c:gapWidth val="182"/>
        <c:axId val="1978350176"/>
        <c:axId val="1978347680"/>
      </c:barChart>
      <c:catAx>
        <c:axId val="1978350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8347680"/>
        <c:crosses val="autoZero"/>
        <c:auto val="1"/>
        <c:lblAlgn val="ctr"/>
        <c:lblOffset val="100"/>
        <c:noMultiLvlLbl val="0"/>
      </c:catAx>
      <c:valAx>
        <c:axId val="1978347680"/>
        <c:scaling>
          <c:orientation val="minMax"/>
        </c:scaling>
        <c:delete val="1"/>
        <c:axPos val="b"/>
        <c:numFmt formatCode="General" sourceLinked="1"/>
        <c:majorTickMark val="none"/>
        <c:minorTickMark val="none"/>
        <c:tickLblPos val="nextTo"/>
        <c:crossAx val="197835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[PROJECTINT213.xlsm]Sheet3!PivotTable6</c:name>
    <c:fmtId val="9"/>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6350" cap="flat" cmpd="sng" algn="ctr">
            <a:solidFill>
              <a:schemeClr val="dk1"/>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Sheet3!$B$17</c:f>
              <c:strCache>
                <c:ptCount val="1"/>
                <c:pt idx="0">
                  <c:v>Total</c:v>
                </c:pt>
              </c:strCache>
            </c:strRef>
          </c:tx>
          <c:spPr>
            <a:ln w="6350" cap="flat" cmpd="sng" algn="ctr">
              <a:solidFill>
                <a:schemeClr val="dk1"/>
              </a:solidFill>
              <a:prstDash val="solid"/>
              <a:miter lim="800000"/>
            </a:ln>
            <a:effectLst/>
          </c:spPr>
          <c:marker>
            <c:symbol val="none"/>
          </c:marker>
          <c:cat>
            <c:strRef>
              <c:f>Sheet3!$A$18:$A$30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Sheet3!$B$18:$B$30</c:f>
              <c:numCache>
                <c:formatCode>General</c:formatCode>
                <c:ptCount val="12"/>
                <c:pt idx="0">
                  <c:v>143130</c:v>
                </c:pt>
                <c:pt idx="1">
                  <c:v>224470</c:v>
                </c:pt>
                <c:pt idx="2">
                  <c:v>86100</c:v>
                </c:pt>
                <c:pt idx="3">
                  <c:v>153530</c:v>
                </c:pt>
                <c:pt idx="4">
                  <c:v>110160</c:v>
                </c:pt>
                <c:pt idx="5">
                  <c:v>118530</c:v>
                </c:pt>
                <c:pt idx="6">
                  <c:v>130100</c:v>
                </c:pt>
                <c:pt idx="7">
                  <c:v>156300</c:v>
                </c:pt>
                <c:pt idx="8">
                  <c:v>223770</c:v>
                </c:pt>
                <c:pt idx="9">
                  <c:v>197350</c:v>
                </c:pt>
                <c:pt idx="10">
                  <c:v>31520</c:v>
                </c:pt>
                <c:pt idx="11">
                  <c:v>207610</c:v>
                </c:pt>
              </c:numCache>
            </c:numRef>
          </c:val>
          <c:smooth val="0"/>
          <c:extLst>
            <c:ext xmlns:c16="http://schemas.microsoft.com/office/drawing/2014/chart" uri="{C3380CC4-5D6E-409C-BE32-E72D297353CC}">
              <c16:uniqueId val="{00000000-BACB-478A-B028-6C75EE168F24}"/>
            </c:ext>
          </c:extLst>
        </c:ser>
        <c:dLbls>
          <c:showLegendKey val="0"/>
          <c:showVal val="0"/>
          <c:showCatName val="0"/>
          <c:showSerName val="0"/>
          <c:showPercent val="0"/>
          <c:showBubbleSize val="0"/>
        </c:dLbls>
        <c:smooth val="0"/>
        <c:axId val="1524752816"/>
        <c:axId val="1524755312"/>
      </c:lineChart>
      <c:catAx>
        <c:axId val="1524752816"/>
        <c:scaling>
          <c:orientation val="minMax"/>
        </c:scaling>
        <c:delete val="1"/>
        <c:axPos val="b"/>
        <c:numFmt formatCode="General" sourceLinked="1"/>
        <c:majorTickMark val="none"/>
        <c:minorTickMark val="none"/>
        <c:tickLblPos val="nextTo"/>
        <c:crossAx val="1524755312"/>
        <c:crosses val="autoZero"/>
        <c:auto val="1"/>
        <c:lblAlgn val="ctr"/>
        <c:lblOffset val="100"/>
        <c:noMultiLvlLbl val="0"/>
      </c:catAx>
      <c:valAx>
        <c:axId val="1524755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4752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[PROJECTINT213.xlsm]Sheet3!PivotTable7</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dk1">
                  <a:lumMod val="110000"/>
                  <a:satMod val="105000"/>
                  <a:tint val="67000"/>
                </a:schemeClr>
              </a:gs>
              <a:gs pos="50000">
                <a:schemeClr val="dk1">
                  <a:lumMod val="105000"/>
                  <a:satMod val="103000"/>
                  <a:tint val="73000"/>
                </a:schemeClr>
              </a:gs>
              <a:gs pos="100000">
                <a:schemeClr val="dk1">
                  <a:lumMod val="105000"/>
                  <a:satMod val="109000"/>
                  <a:tint val="81000"/>
                </a:schemeClr>
              </a:gs>
            </a:gsLst>
            <a:lin ang="5400000" scaled="0"/>
          </a:gradFill>
          <a:ln w="6350" cap="flat" cmpd="sng" algn="ctr">
            <a:solidFill>
              <a:schemeClr val="dk1"/>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Sheet3!$B$33</c:f>
              <c:strCache>
                <c:ptCount val="1"/>
                <c:pt idx="0">
                  <c:v>Total</c:v>
                </c:pt>
              </c:strCache>
            </c:strRef>
          </c:tx>
          <c:spPr>
            <a:gradFill rotWithShape="1">
              <a:gsLst>
                <a:gs pos="0">
                  <a:schemeClr val="dk1">
                    <a:lumMod val="110000"/>
                    <a:satMod val="105000"/>
                    <a:tint val="67000"/>
                  </a:schemeClr>
                </a:gs>
                <a:gs pos="50000">
                  <a:schemeClr val="dk1">
                    <a:lumMod val="105000"/>
                    <a:satMod val="103000"/>
                    <a:tint val="73000"/>
                  </a:schemeClr>
                </a:gs>
                <a:gs pos="100000">
                  <a:schemeClr val="dk1">
                    <a:lumMod val="105000"/>
                    <a:satMod val="109000"/>
                    <a:tint val="81000"/>
                  </a:schemeClr>
                </a:gs>
              </a:gsLst>
              <a:lin ang="5400000" scaled="0"/>
            </a:gradFill>
            <a:ln w="6350" cap="flat" cmpd="sng" algn="ctr">
              <a:solidFill>
                <a:schemeClr val="dk1"/>
              </a:solidFill>
              <a:prstDash val="solid"/>
              <a:miter lim="800000"/>
            </a:ln>
            <a:effectLst/>
          </c:spPr>
          <c:invertIfNegative val="0"/>
          <c:cat>
            <c:strRef>
              <c:f>Sheet3!$A$34:$A$38</c:f>
              <c:strCache>
                <c:ptCount val="4"/>
                <c:pt idx="0">
                  <c:v>East</c:v>
                </c:pt>
                <c:pt idx="1">
                  <c:v>North</c:v>
                </c:pt>
                <c:pt idx="2">
                  <c:v>South</c:v>
                </c:pt>
                <c:pt idx="3">
                  <c:v>West</c:v>
                </c:pt>
              </c:strCache>
            </c:strRef>
          </c:cat>
          <c:val>
            <c:numRef>
              <c:f>Sheet3!$B$34:$B$38</c:f>
              <c:numCache>
                <c:formatCode>General</c:formatCode>
                <c:ptCount val="4"/>
                <c:pt idx="0">
                  <c:v>736080</c:v>
                </c:pt>
                <c:pt idx="1">
                  <c:v>203680</c:v>
                </c:pt>
                <c:pt idx="2">
                  <c:v>335480</c:v>
                </c:pt>
                <c:pt idx="3">
                  <c:v>507330</c:v>
                </c:pt>
              </c:numCache>
            </c:numRef>
          </c:val>
          <c:extLst>
            <c:ext xmlns:c16="http://schemas.microsoft.com/office/drawing/2014/chart" uri="{C3380CC4-5D6E-409C-BE32-E72D297353CC}">
              <c16:uniqueId val="{00000000-7263-42ED-9017-2BC7BA9C17A3}"/>
            </c:ext>
          </c:extLst>
        </c:ser>
        <c:dLbls>
          <c:showLegendKey val="0"/>
          <c:showVal val="0"/>
          <c:showCatName val="0"/>
          <c:showSerName val="0"/>
          <c:showPercent val="0"/>
          <c:showBubbleSize val="0"/>
        </c:dLbls>
        <c:gapWidth val="219"/>
        <c:overlap val="-27"/>
        <c:axId val="1593247984"/>
        <c:axId val="1593245904"/>
      </c:barChart>
      <c:catAx>
        <c:axId val="159324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45904"/>
        <c:crosses val="autoZero"/>
        <c:auto val="1"/>
        <c:lblAlgn val="ctr"/>
        <c:lblOffset val="100"/>
        <c:noMultiLvlLbl val="0"/>
      </c:catAx>
      <c:valAx>
        <c:axId val="159324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4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4">
          <a:lumMod val="40000"/>
          <a:lumOff val="6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[PROJECTINT213.xlsm]Sheet3!PivotTable8</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dk1">
                  <a:lumMod val="110000"/>
                  <a:satMod val="105000"/>
                  <a:tint val="67000"/>
                </a:schemeClr>
              </a:gs>
              <a:gs pos="50000">
                <a:schemeClr val="dk1">
                  <a:lumMod val="105000"/>
                  <a:satMod val="103000"/>
                  <a:tint val="73000"/>
                </a:schemeClr>
              </a:gs>
              <a:gs pos="100000">
                <a:schemeClr val="dk1">
                  <a:lumMod val="105000"/>
                  <a:satMod val="109000"/>
                  <a:tint val="81000"/>
                </a:schemeClr>
              </a:gs>
            </a:gsLst>
            <a:lin ang="5400000" scaled="0"/>
          </a:gradFill>
          <a:ln w="6350" cap="flat" cmpd="sng" algn="ctr">
            <a:solidFill>
              <a:schemeClr val="dk1"/>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Sheet3!$B$51</c:f>
              <c:strCache>
                <c:ptCount val="1"/>
                <c:pt idx="0">
                  <c:v>Total</c:v>
                </c:pt>
              </c:strCache>
            </c:strRef>
          </c:tx>
          <c:spPr>
            <a:gradFill rotWithShape="1">
              <a:gsLst>
                <a:gs pos="0">
                  <a:schemeClr val="dk1">
                    <a:lumMod val="110000"/>
                    <a:satMod val="105000"/>
                    <a:tint val="67000"/>
                  </a:schemeClr>
                </a:gs>
                <a:gs pos="50000">
                  <a:schemeClr val="dk1">
                    <a:lumMod val="105000"/>
                    <a:satMod val="103000"/>
                    <a:tint val="73000"/>
                  </a:schemeClr>
                </a:gs>
                <a:gs pos="100000">
                  <a:schemeClr val="dk1">
                    <a:lumMod val="105000"/>
                    <a:satMod val="109000"/>
                    <a:tint val="81000"/>
                  </a:schemeClr>
                </a:gs>
              </a:gsLst>
              <a:lin ang="5400000" scaled="0"/>
            </a:gradFill>
            <a:ln w="6350" cap="flat" cmpd="sng" algn="ctr">
              <a:solidFill>
                <a:schemeClr val="dk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Sheet3!$A$52:$A$58</c:f>
              <c:strCache>
                <c:ptCount val="6"/>
                <c:pt idx="0">
                  <c:v>Keyboard</c:v>
                </c:pt>
                <c:pt idx="1">
                  <c:v>Monitor</c:v>
                </c:pt>
                <c:pt idx="2">
                  <c:v>Mouse</c:v>
                </c:pt>
                <c:pt idx="3">
                  <c:v>Printer</c:v>
                </c:pt>
                <c:pt idx="4">
                  <c:v>Scanner</c:v>
                </c:pt>
                <c:pt idx="5">
                  <c:v>Speaker</c:v>
                </c:pt>
              </c:strCache>
            </c:strRef>
          </c:cat>
          <c:val>
            <c:numRef>
              <c:f>Sheet3!$B$52:$B$58</c:f>
              <c:numCache>
                <c:formatCode>0.00%</c:formatCode>
                <c:ptCount val="6"/>
                <c:pt idx="0">
                  <c:v>1.4204210774331443E-2</c:v>
                </c:pt>
                <c:pt idx="1">
                  <c:v>0.19017485989330013</c:v>
                </c:pt>
                <c:pt idx="2">
                  <c:v>3.7109342129621838E-2</c:v>
                </c:pt>
                <c:pt idx="3">
                  <c:v>0.52424308722799107</c:v>
                </c:pt>
                <c:pt idx="4">
                  <c:v>0.1975798986856056</c:v>
                </c:pt>
                <c:pt idx="5">
                  <c:v>3.6688601289149934E-2</c:v>
                </c:pt>
              </c:numCache>
            </c:numRef>
          </c:val>
          <c:extLst>
            <c:ext xmlns:c16="http://schemas.microsoft.com/office/drawing/2014/chart" uri="{C3380CC4-5D6E-409C-BE32-E72D297353CC}">
              <c16:uniqueId val="{00000000-6337-487D-8202-04428E90FAD2}"/>
            </c:ext>
          </c:extLst>
        </c:ser>
        <c:dLbls>
          <c:showLegendKey val="0"/>
          <c:showVal val="0"/>
          <c:showCatName val="0"/>
          <c:showSerName val="0"/>
          <c:showPercent val="0"/>
          <c:showBubbleSize val="0"/>
        </c:dLbls>
        <c:gapWidth val="182"/>
        <c:axId val="1907269872"/>
        <c:axId val="1907275280"/>
      </c:barChart>
      <c:catAx>
        <c:axId val="1907269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7275280"/>
        <c:crosses val="autoZero"/>
        <c:auto val="1"/>
        <c:lblAlgn val="ctr"/>
        <c:lblOffset val="100"/>
        <c:noMultiLvlLbl val="0"/>
      </c:catAx>
      <c:valAx>
        <c:axId val="1907275280"/>
        <c:scaling>
          <c:orientation val="minMax"/>
        </c:scaling>
        <c:delete val="1"/>
        <c:axPos val="b"/>
        <c:numFmt formatCode="0.00%" sourceLinked="1"/>
        <c:majorTickMark val="none"/>
        <c:minorTickMark val="none"/>
        <c:tickLblPos val="nextTo"/>
        <c:crossAx val="190726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4">
          <a:lumMod val="40000"/>
          <a:lumOff val="6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[PROJECTINT213.xlsm]Sheet3!PivotTable18</c:name>
    <c:fmtId val="52"/>
  </c:pivotSource>
  <c:chart>
    <c:autoTitleDeleted val="1"/>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dLbl>
          <c:idx val="0"/>
          <c:showLegendKey val="0"/>
          <c:showVal val="0"/>
          <c:showCatName val="1"/>
          <c:showSerName val="0"/>
          <c:showPercent val="1"/>
          <c:showBubbleSize val="0"/>
          <c:extLst>
            <c:ext xmlns:c15="http://schemas.microsoft.com/office/drawing/2012/chart" uri="{CE6537A1-D6FC-4f65-9D91-7224C49458BB}"/>
          </c:extLst>
        </c:dLbl>
      </c:pivotFmt>
      <c:pivotFmt>
        <c:idx val="2"/>
      </c:pivotFmt>
      <c:pivotFmt>
        <c:idx val="3"/>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bg1">
              <a:lumMod val="85000"/>
            </a:schemeClr>
          </a:solidFill>
          <a:ln w="19050">
            <a:solidFill>
              <a:schemeClr val="lt1"/>
            </a:solidFill>
          </a:ln>
          <a:effectLst>
            <a:innerShdw blurRad="114300">
              <a:schemeClr val="accent1"/>
            </a:innerShdw>
          </a:effectLst>
        </c:spPr>
      </c:pivotFmt>
      <c:pivotFmt>
        <c:idx val="6"/>
        <c:spPr>
          <a:solidFill>
            <a:srgbClr val="92D050"/>
          </a:solidFill>
          <a:ln w="19050">
            <a:solidFill>
              <a:schemeClr val="lt1"/>
            </a:solidFill>
          </a:ln>
          <a:effectLst>
            <a:innerShdw blurRad="114300">
              <a:schemeClr val="accent1"/>
            </a:innerShdw>
          </a:effectLst>
        </c:spPr>
      </c:pivotFmt>
    </c:pivotFmts>
    <c:plotArea>
      <c:layout>
        <c:manualLayout>
          <c:layoutTarget val="inner"/>
          <c:xMode val="edge"/>
          <c:yMode val="edge"/>
          <c:x val="0.19872681539807527"/>
          <c:y val="2.0833333333333332E-2"/>
          <c:w val="0.46388888888888891"/>
          <c:h val="0.77314814814814814"/>
        </c:manualLayout>
      </c:layout>
      <c:doughnutChart>
        <c:varyColors val="1"/>
        <c:ser>
          <c:idx val="0"/>
          <c:order val="0"/>
          <c:tx>
            <c:strRef>
              <c:f>Sheet3!$B$147</c:f>
              <c:strCache>
                <c:ptCount val="1"/>
                <c:pt idx="0">
                  <c:v>Total</c:v>
                </c:pt>
              </c:strCache>
            </c:strRef>
          </c:tx>
          <c:dPt>
            <c:idx val="0"/>
            <c:bubble3D val="0"/>
            <c:spPr>
              <a:solidFill>
                <a:schemeClr val="bg1">
                  <a:lumMod val="85000"/>
                </a:schemeClr>
              </a:solidFill>
              <a:ln w="19050">
                <a:solidFill>
                  <a:schemeClr val="lt1"/>
                </a:solidFill>
              </a:ln>
              <a:effectLst>
                <a:innerShdw blurRad="114300">
                  <a:schemeClr val="accent1"/>
                </a:innerShdw>
              </a:effectLst>
            </c:spPr>
            <c:extLst>
              <c:ext xmlns:c16="http://schemas.microsoft.com/office/drawing/2014/chart" uri="{C3380CC4-5D6E-409C-BE32-E72D297353CC}">
                <c16:uniqueId val="{00000001-C978-4EA7-92B6-E35036C57E16}"/>
              </c:ext>
            </c:extLst>
          </c:dPt>
          <c:dPt>
            <c:idx val="1"/>
            <c:bubble3D val="0"/>
            <c:spPr>
              <a:solidFill>
                <a:srgbClr val="92D050"/>
              </a:solidFill>
              <a:ln w="19050">
                <a:solidFill>
                  <a:schemeClr val="lt1"/>
                </a:solidFill>
              </a:ln>
              <a:effectLst>
                <a:innerShdw blurRad="114300">
                  <a:schemeClr val="accent2"/>
                </a:innerShdw>
              </a:effectLst>
            </c:spPr>
            <c:extLst>
              <c:ext xmlns:c16="http://schemas.microsoft.com/office/drawing/2014/chart" uri="{C3380CC4-5D6E-409C-BE32-E72D297353CC}">
                <c16:uniqueId val="{00000003-C978-4EA7-92B6-E35036C57E16}"/>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Sheet3!$A$148:$A$150</c:f>
              <c:strCache>
                <c:ptCount val="2"/>
                <c:pt idx="0">
                  <c:v>Cash</c:v>
                </c:pt>
                <c:pt idx="1">
                  <c:v>Online</c:v>
                </c:pt>
              </c:strCache>
            </c:strRef>
          </c:cat>
          <c:val>
            <c:numRef>
              <c:f>Sheet3!$B$148:$B$150</c:f>
              <c:numCache>
                <c:formatCode>General</c:formatCode>
                <c:ptCount val="2"/>
                <c:pt idx="0">
                  <c:v>810</c:v>
                </c:pt>
                <c:pt idx="1">
                  <c:v>797</c:v>
                </c:pt>
              </c:numCache>
            </c:numRef>
          </c:val>
          <c:extLst>
            <c:ext xmlns:c16="http://schemas.microsoft.com/office/drawing/2014/chart" uri="{C3380CC4-5D6E-409C-BE32-E72D297353CC}">
              <c16:uniqueId val="{00000004-C978-4EA7-92B6-E35036C57E16}"/>
            </c:ext>
          </c:extLst>
        </c:ser>
        <c:dLbls>
          <c:showLegendKey val="0"/>
          <c:showVal val="0"/>
          <c:showCatName val="0"/>
          <c:showSerName val="0"/>
          <c:showPercent val="0"/>
          <c:showBubbleSize val="0"/>
          <c:showLeaderLines val="0"/>
        </c:dLbls>
        <c:firstSliceAng val="0"/>
        <c:holeSize val="88"/>
      </c:doughnutChart>
      <c:spPr>
        <a:noFill/>
        <a:ln>
          <a:noFill/>
        </a:ln>
        <a:effectLst/>
      </c:spPr>
    </c:plotArea>
    <c:legend>
      <c:legendPos val="r"/>
      <c:layout>
        <c:manualLayout>
          <c:xMode val="edge"/>
          <c:yMode val="edge"/>
          <c:x val="0.66381917306724336"/>
          <c:y val="2.3726305045202706E-2"/>
          <c:w val="0.31395850613992787"/>
          <c:h val="0.303245559995535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c:name>
    <c:fmtId val="6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dk1"/>
          </a:solidFill>
          <a:ln w="19050" cap="flat" cmpd="sng" algn="ctr">
            <a:solidFill>
              <a:schemeClr val="lt1"/>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1"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Sheet3!$B$155</c:f>
              <c:strCache>
                <c:ptCount val="1"/>
                <c:pt idx="0">
                  <c:v>Count of Region</c:v>
                </c:pt>
              </c:strCache>
            </c:strRef>
          </c:tx>
          <c:spPr>
            <a:solidFill>
              <a:schemeClr val="dk1"/>
            </a:solidFill>
            <a:ln w="19050" cap="flat" cmpd="sng" algn="ctr">
              <a:solidFill>
                <a:schemeClr val="lt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1"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Sheet3!$A$156:$A$187</c:f>
              <c:strCache>
                <c:ptCount val="31"/>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Sheet3!$B$156:$B$187</c:f>
              <c:numCache>
                <c:formatCode>General</c:formatCode>
                <c:ptCount val="31"/>
                <c:pt idx="0">
                  <c:v>13</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11</c:v>
                </c:pt>
                <c:pt idx="29">
                  <c:v>11</c:v>
                </c:pt>
                <c:pt idx="30">
                  <c:v>7</c:v>
                </c:pt>
              </c:numCache>
            </c:numRef>
          </c:val>
          <c:extLst>
            <c:ext xmlns:c16="http://schemas.microsoft.com/office/drawing/2014/chart" uri="{C3380CC4-5D6E-409C-BE32-E72D297353CC}">
              <c16:uniqueId val="{00000000-1C9A-4986-97CA-8BADCBC9BF97}"/>
            </c:ext>
          </c:extLst>
        </c:ser>
        <c:dLbls>
          <c:showLegendKey val="0"/>
          <c:showVal val="0"/>
          <c:showCatName val="0"/>
          <c:showSerName val="0"/>
          <c:showPercent val="0"/>
          <c:showBubbleSize val="0"/>
        </c:dLbls>
        <c:gapWidth val="150"/>
        <c:axId val="1917436687"/>
        <c:axId val="1917437103"/>
      </c:barChart>
      <c:lineChart>
        <c:grouping val="standard"/>
        <c:varyColors val="0"/>
        <c:ser>
          <c:idx val="1"/>
          <c:order val="1"/>
          <c:tx>
            <c:strRef>
              <c:f>Sheet3!$C$155</c:f>
              <c:strCache>
                <c:ptCount val="1"/>
                <c:pt idx="0">
                  <c:v>Count of Salesman</c:v>
                </c:pt>
              </c:strCache>
            </c:strRef>
          </c:tx>
          <c:spPr>
            <a:ln w="28575" cap="rnd">
              <a:solidFill>
                <a:schemeClr val="accent2"/>
              </a:solidFill>
              <a:round/>
            </a:ln>
            <a:effectLst/>
          </c:spPr>
          <c:marker>
            <c:symbol val="none"/>
          </c:marker>
          <c:cat>
            <c:strRef>
              <c:f>Sheet3!$A$156:$A$187</c:f>
              <c:strCache>
                <c:ptCount val="31"/>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Sheet3!$C$156:$C$187</c:f>
              <c:numCache>
                <c:formatCode>General</c:formatCode>
                <c:ptCount val="31"/>
                <c:pt idx="0">
                  <c:v>13</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11</c:v>
                </c:pt>
                <c:pt idx="29">
                  <c:v>11</c:v>
                </c:pt>
                <c:pt idx="30">
                  <c:v>7</c:v>
                </c:pt>
              </c:numCache>
            </c:numRef>
          </c:val>
          <c:smooth val="0"/>
          <c:extLst>
            <c:ext xmlns:c16="http://schemas.microsoft.com/office/drawing/2014/chart" uri="{C3380CC4-5D6E-409C-BE32-E72D297353CC}">
              <c16:uniqueId val="{00000001-1C9A-4986-97CA-8BADCBC9BF97}"/>
            </c:ext>
          </c:extLst>
        </c:ser>
        <c:dLbls>
          <c:showLegendKey val="0"/>
          <c:showVal val="0"/>
          <c:showCatName val="0"/>
          <c:showSerName val="0"/>
          <c:showPercent val="0"/>
          <c:showBubbleSize val="0"/>
        </c:dLbls>
        <c:marker val="1"/>
        <c:smooth val="0"/>
        <c:axId val="1917436687"/>
        <c:axId val="1917437103"/>
      </c:lineChart>
      <c:catAx>
        <c:axId val="1917436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37103"/>
        <c:crosses val="autoZero"/>
        <c:auto val="1"/>
        <c:lblAlgn val="ctr"/>
        <c:lblOffset val="100"/>
        <c:noMultiLvlLbl val="0"/>
      </c:catAx>
      <c:valAx>
        <c:axId val="19174371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36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[PROJECTINT213.xlsm]Sheet3!PivotTable6</c:name>
    <c:fmtId val="7"/>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Sheet3!$B$17</c:f>
              <c:strCache>
                <c:ptCount val="1"/>
                <c:pt idx="0">
                  <c:v>Total</c:v>
                </c:pt>
              </c:strCache>
            </c:strRef>
          </c:tx>
          <c:spPr>
            <a:ln w="28575" cap="rnd">
              <a:solidFill>
                <a:schemeClr val="accent1"/>
              </a:solidFill>
              <a:round/>
            </a:ln>
            <a:effectLst/>
          </c:spPr>
          <c:marker>
            <c:symbol val="none"/>
          </c:marker>
          <c:cat>
            <c:strRef>
              <c:f>Sheet3!$A$18:$A$30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Sheet3!$B$18:$B$30</c:f>
              <c:numCache>
                <c:formatCode>General</c:formatCode>
                <c:ptCount val="12"/>
                <c:pt idx="0">
                  <c:v>143130</c:v>
                </c:pt>
                <c:pt idx="1">
                  <c:v>224470</c:v>
                </c:pt>
                <c:pt idx="2">
                  <c:v>86100</c:v>
                </c:pt>
                <c:pt idx="3">
                  <c:v>153530</c:v>
                </c:pt>
                <c:pt idx="4">
                  <c:v>110160</c:v>
                </c:pt>
                <c:pt idx="5">
                  <c:v>118530</c:v>
                </c:pt>
                <c:pt idx="6">
                  <c:v>130100</c:v>
                </c:pt>
                <c:pt idx="7">
                  <c:v>156300</c:v>
                </c:pt>
                <c:pt idx="8">
                  <c:v>223770</c:v>
                </c:pt>
                <c:pt idx="9">
                  <c:v>197350</c:v>
                </c:pt>
                <c:pt idx="10">
                  <c:v>31520</c:v>
                </c:pt>
                <c:pt idx="11">
                  <c:v>207610</c:v>
                </c:pt>
              </c:numCache>
            </c:numRef>
          </c:val>
          <c:smooth val="0"/>
          <c:extLst>
            <c:ext xmlns:c16="http://schemas.microsoft.com/office/drawing/2014/chart" uri="{C3380CC4-5D6E-409C-BE32-E72D297353CC}">
              <c16:uniqueId val="{00000000-2B29-408F-AB19-1E5DA56AAFCB}"/>
            </c:ext>
          </c:extLst>
        </c:ser>
        <c:dLbls>
          <c:showLegendKey val="0"/>
          <c:showVal val="0"/>
          <c:showCatName val="0"/>
          <c:showSerName val="0"/>
          <c:showPercent val="0"/>
          <c:showBubbleSize val="0"/>
        </c:dLbls>
        <c:smooth val="0"/>
        <c:axId val="1524752816"/>
        <c:axId val="1524755312"/>
      </c:lineChart>
      <c:catAx>
        <c:axId val="1524752816"/>
        <c:scaling>
          <c:orientation val="minMax"/>
        </c:scaling>
        <c:delete val="1"/>
        <c:axPos val="b"/>
        <c:numFmt formatCode="General" sourceLinked="1"/>
        <c:majorTickMark val="none"/>
        <c:minorTickMark val="none"/>
        <c:tickLblPos val="nextTo"/>
        <c:crossAx val="1524755312"/>
        <c:crosses val="autoZero"/>
        <c:auto val="1"/>
        <c:lblAlgn val="ctr"/>
        <c:lblOffset val="100"/>
        <c:noMultiLvlLbl val="0"/>
      </c:catAx>
      <c:valAx>
        <c:axId val="1524755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4752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[PROJECTINT213.xlsm]Sheet3!PivotTable7</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Sheet3!$B$33</c:f>
              <c:strCache>
                <c:ptCount val="1"/>
                <c:pt idx="0">
                  <c:v>Total</c:v>
                </c:pt>
              </c:strCache>
            </c:strRef>
          </c:tx>
          <c:spPr>
            <a:solidFill>
              <a:schemeClr val="accent1"/>
            </a:solidFill>
            <a:ln>
              <a:noFill/>
            </a:ln>
            <a:effectLst/>
          </c:spPr>
          <c:invertIfNegative val="0"/>
          <c:cat>
            <c:strRef>
              <c:f>Sheet3!$A$34:$A$38</c:f>
              <c:strCache>
                <c:ptCount val="4"/>
                <c:pt idx="0">
                  <c:v>East</c:v>
                </c:pt>
                <c:pt idx="1">
                  <c:v>North</c:v>
                </c:pt>
                <c:pt idx="2">
                  <c:v>South</c:v>
                </c:pt>
                <c:pt idx="3">
                  <c:v>West</c:v>
                </c:pt>
              </c:strCache>
            </c:strRef>
          </c:cat>
          <c:val>
            <c:numRef>
              <c:f>Sheet3!$B$34:$B$38</c:f>
              <c:numCache>
                <c:formatCode>General</c:formatCode>
                <c:ptCount val="4"/>
                <c:pt idx="0">
                  <c:v>736080</c:v>
                </c:pt>
                <c:pt idx="1">
                  <c:v>203680</c:v>
                </c:pt>
                <c:pt idx="2">
                  <c:v>335480</c:v>
                </c:pt>
                <c:pt idx="3">
                  <c:v>507330</c:v>
                </c:pt>
              </c:numCache>
            </c:numRef>
          </c:val>
          <c:extLst>
            <c:ext xmlns:c16="http://schemas.microsoft.com/office/drawing/2014/chart" uri="{C3380CC4-5D6E-409C-BE32-E72D297353CC}">
              <c16:uniqueId val="{00000000-82D5-4F1E-A15D-10C843E7EF2C}"/>
            </c:ext>
          </c:extLst>
        </c:ser>
        <c:dLbls>
          <c:showLegendKey val="0"/>
          <c:showVal val="0"/>
          <c:showCatName val="0"/>
          <c:showSerName val="0"/>
          <c:showPercent val="0"/>
          <c:showBubbleSize val="0"/>
        </c:dLbls>
        <c:gapWidth val="219"/>
        <c:overlap val="-27"/>
        <c:axId val="1593247984"/>
        <c:axId val="1593245904"/>
      </c:barChart>
      <c:catAx>
        <c:axId val="1593247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45904"/>
        <c:crosses val="autoZero"/>
        <c:auto val="1"/>
        <c:lblAlgn val="ctr"/>
        <c:lblOffset val="100"/>
        <c:noMultiLvlLbl val="0"/>
      </c:catAx>
      <c:valAx>
        <c:axId val="159324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3247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[PROJECTINT213.xlsm]Sheet3!PivotTable8</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Sheet3!$B$51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Sheet3!$A$52:$A$58</c:f>
              <c:strCache>
                <c:ptCount val="6"/>
                <c:pt idx="0">
                  <c:v>Keyboard</c:v>
                </c:pt>
                <c:pt idx="1">
                  <c:v>Monitor</c:v>
                </c:pt>
                <c:pt idx="2">
                  <c:v>Mouse</c:v>
                </c:pt>
                <c:pt idx="3">
                  <c:v>Printer</c:v>
                </c:pt>
                <c:pt idx="4">
                  <c:v>Scanner</c:v>
                </c:pt>
                <c:pt idx="5">
                  <c:v>Speaker</c:v>
                </c:pt>
              </c:strCache>
            </c:strRef>
          </c:cat>
          <c:val>
            <c:numRef>
              <c:f>Sheet3!$B$52:$B$58</c:f>
              <c:numCache>
                <c:formatCode>0.00%</c:formatCode>
                <c:ptCount val="6"/>
                <c:pt idx="0">
                  <c:v>1.4204210774331443E-2</c:v>
                </c:pt>
                <c:pt idx="1">
                  <c:v>0.19017485989330013</c:v>
                </c:pt>
                <c:pt idx="2">
                  <c:v>3.7109342129621838E-2</c:v>
                </c:pt>
                <c:pt idx="3">
                  <c:v>0.52424308722799107</c:v>
                </c:pt>
                <c:pt idx="4">
                  <c:v>0.1975798986856056</c:v>
                </c:pt>
                <c:pt idx="5">
                  <c:v>3.6688601289149934E-2</c:v>
                </c:pt>
              </c:numCache>
            </c:numRef>
          </c:val>
          <c:extLst>
            <c:ext xmlns:c16="http://schemas.microsoft.com/office/drawing/2014/chart" uri="{C3380CC4-5D6E-409C-BE32-E72D297353CC}">
              <c16:uniqueId val="{00000000-FF99-46A5-AA9F-955DE9AA95DF}"/>
            </c:ext>
          </c:extLst>
        </c:ser>
        <c:dLbls>
          <c:showLegendKey val="0"/>
          <c:showVal val="0"/>
          <c:showCatName val="0"/>
          <c:showSerName val="0"/>
          <c:showPercent val="0"/>
          <c:showBubbleSize val="0"/>
        </c:dLbls>
        <c:gapWidth val="182"/>
        <c:axId val="1907269872"/>
        <c:axId val="1907275280"/>
      </c:barChart>
      <c:catAx>
        <c:axId val="1907269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7275280"/>
        <c:crosses val="autoZero"/>
        <c:auto val="1"/>
        <c:lblAlgn val="ctr"/>
        <c:lblOffset val="100"/>
        <c:noMultiLvlLbl val="0"/>
      </c:catAx>
      <c:valAx>
        <c:axId val="1907275280"/>
        <c:scaling>
          <c:orientation val="minMax"/>
        </c:scaling>
        <c:delete val="1"/>
        <c:axPos val="b"/>
        <c:numFmt formatCode="0.00%" sourceLinked="1"/>
        <c:majorTickMark val="none"/>
        <c:minorTickMark val="none"/>
        <c:tickLblPos val="nextTo"/>
        <c:crossAx val="190726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[PROJECTINT213.xlsm]Sheet3!PivotTable10</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Sheet3!$B$73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Sheet3!$A$74:$A$80</c:f>
              <c:strCache>
                <c:ptCount val="6"/>
                <c:pt idx="0">
                  <c:v>Keyboard</c:v>
                </c:pt>
                <c:pt idx="1">
                  <c:v>Monitor</c:v>
                </c:pt>
                <c:pt idx="2">
                  <c:v>Mouse</c:v>
                </c:pt>
                <c:pt idx="3">
                  <c:v>Printer</c:v>
                </c:pt>
                <c:pt idx="4">
                  <c:v>Scanner</c:v>
                </c:pt>
                <c:pt idx="5">
                  <c:v>Speaker</c:v>
                </c:pt>
              </c:strCache>
            </c:strRef>
          </c:cat>
          <c:val>
            <c:numRef>
              <c:f>Sheet3!$B$74:$B$80</c:f>
              <c:numCache>
                <c:formatCode>General</c:formatCode>
                <c:ptCount val="6"/>
                <c:pt idx="0">
                  <c:v>132</c:v>
                </c:pt>
                <c:pt idx="1">
                  <c:v>251</c:v>
                </c:pt>
                <c:pt idx="2">
                  <c:v>319</c:v>
                </c:pt>
                <c:pt idx="3">
                  <c:v>445</c:v>
                </c:pt>
                <c:pt idx="4">
                  <c:v>242</c:v>
                </c:pt>
                <c:pt idx="5">
                  <c:v>218</c:v>
                </c:pt>
              </c:numCache>
            </c:numRef>
          </c:val>
          <c:extLst>
            <c:ext xmlns:c16="http://schemas.microsoft.com/office/drawing/2014/chart" uri="{C3380CC4-5D6E-409C-BE32-E72D297353CC}">
              <c16:uniqueId val="{00000000-7F2B-4296-85CC-633D81AD9A39}"/>
            </c:ext>
          </c:extLst>
        </c:ser>
        <c:dLbls>
          <c:showLegendKey val="0"/>
          <c:showVal val="0"/>
          <c:showCatName val="0"/>
          <c:showSerName val="0"/>
          <c:showPercent val="0"/>
          <c:showBubbleSize val="0"/>
        </c:dLbls>
        <c:gapWidth val="219"/>
        <c:overlap val="-27"/>
        <c:axId val="1976028240"/>
        <c:axId val="1976029072"/>
      </c:barChart>
      <c:catAx>
        <c:axId val="197602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029072"/>
        <c:crosses val="autoZero"/>
        <c:auto val="1"/>
        <c:lblAlgn val="ctr"/>
        <c:lblOffset val="100"/>
        <c:noMultiLvlLbl val="0"/>
      </c:catAx>
      <c:valAx>
        <c:axId val="19760290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6028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[PROJECTINT213.xlsm]Sheet3!PivotTable11</c:name>
    <c:fmtId val="2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Sheet3!$B$86</c:f>
              <c:strCache>
                <c:ptCount val="1"/>
                <c:pt idx="0">
                  <c:v>Total</c:v>
                </c:pt>
              </c:strCache>
            </c:strRef>
          </c:tx>
          <c:spPr>
            <a:solidFill>
              <a:schemeClr val="accent1"/>
            </a:solidFill>
            <a:ln>
              <a:noFill/>
            </a:ln>
            <a:effectLst/>
          </c:spPr>
          <c:invertIfNegative val="0"/>
          <c:cat>
            <c:strRef>
              <c:f>Sheet3!$A$87:$A$90</c:f>
              <c:strCache>
                <c:ptCount val="3"/>
                <c:pt idx="0">
                  <c:v>Monitor</c:v>
                </c:pt>
                <c:pt idx="1">
                  <c:v>Mouse</c:v>
                </c:pt>
                <c:pt idx="2">
                  <c:v>Printer</c:v>
                </c:pt>
              </c:strCache>
            </c:strRef>
          </c:cat>
          <c:val>
            <c:numRef>
              <c:f>Sheet3!$B$87:$B$90</c:f>
              <c:numCache>
                <c:formatCode>General</c:formatCode>
                <c:ptCount val="3"/>
                <c:pt idx="0">
                  <c:v>251</c:v>
                </c:pt>
                <c:pt idx="1">
                  <c:v>319</c:v>
                </c:pt>
                <c:pt idx="2">
                  <c:v>445</c:v>
                </c:pt>
              </c:numCache>
            </c:numRef>
          </c:val>
          <c:extLst>
            <c:ext xmlns:c16="http://schemas.microsoft.com/office/drawing/2014/chart" uri="{C3380CC4-5D6E-409C-BE32-E72D297353CC}">
              <c16:uniqueId val="{00000000-712C-41F6-987A-7C159463780F}"/>
            </c:ext>
          </c:extLst>
        </c:ser>
        <c:dLbls>
          <c:showLegendKey val="0"/>
          <c:showVal val="0"/>
          <c:showCatName val="0"/>
          <c:showSerName val="0"/>
          <c:showPercent val="0"/>
          <c:showBubbleSize val="0"/>
        </c:dLbls>
        <c:gapWidth val="182"/>
        <c:axId val="11748463"/>
        <c:axId val="11746383"/>
      </c:barChart>
      <c:catAx>
        <c:axId val="117484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6383"/>
        <c:crosses val="autoZero"/>
        <c:auto val="1"/>
        <c:lblAlgn val="ctr"/>
        <c:lblOffset val="100"/>
        <c:noMultiLvlLbl val="0"/>
      </c:catAx>
      <c:valAx>
        <c:axId val="11746383"/>
        <c:scaling>
          <c:orientation val="minMax"/>
        </c:scaling>
        <c:delete val="1"/>
        <c:axPos val="b"/>
        <c:numFmt formatCode="General" sourceLinked="1"/>
        <c:majorTickMark val="none"/>
        <c:minorTickMark val="none"/>
        <c:tickLblPos val="nextTo"/>
        <c:crossAx val="11748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[PROJECTINT213.xlsm]Sheet3!PivotTable12</c:name>
    <c:fmtId val="3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Sheet3!$B$100</c:f>
              <c:strCache>
                <c:ptCount val="1"/>
                <c:pt idx="0">
                  <c:v>Total</c:v>
                </c:pt>
              </c:strCache>
            </c:strRef>
          </c:tx>
          <c:spPr>
            <a:solidFill>
              <a:schemeClr val="accent1"/>
            </a:solidFill>
            <a:ln>
              <a:noFill/>
            </a:ln>
            <a:effectLst/>
          </c:spPr>
          <c:invertIfNegative val="0"/>
          <c:cat>
            <c:strRef>
              <c:f>Sheet3!$A$101:$A$104</c:f>
              <c:strCache>
                <c:ptCount val="3"/>
                <c:pt idx="0">
                  <c:v>Keyboard</c:v>
                </c:pt>
                <c:pt idx="1">
                  <c:v>Scanner</c:v>
                </c:pt>
                <c:pt idx="2">
                  <c:v>Speaker</c:v>
                </c:pt>
              </c:strCache>
            </c:strRef>
          </c:cat>
          <c:val>
            <c:numRef>
              <c:f>Sheet3!$B$101:$B$104</c:f>
              <c:numCache>
                <c:formatCode>General</c:formatCode>
                <c:ptCount val="3"/>
                <c:pt idx="0">
                  <c:v>132</c:v>
                </c:pt>
                <c:pt idx="1">
                  <c:v>242</c:v>
                </c:pt>
                <c:pt idx="2">
                  <c:v>218</c:v>
                </c:pt>
              </c:numCache>
            </c:numRef>
          </c:val>
          <c:extLst>
            <c:ext xmlns:c16="http://schemas.microsoft.com/office/drawing/2014/chart" uri="{C3380CC4-5D6E-409C-BE32-E72D297353CC}">
              <c16:uniqueId val="{00000000-E5E7-400F-B481-A5C706AFC97B}"/>
            </c:ext>
          </c:extLst>
        </c:ser>
        <c:dLbls>
          <c:showLegendKey val="0"/>
          <c:showVal val="0"/>
          <c:showCatName val="0"/>
          <c:showSerName val="0"/>
          <c:showPercent val="0"/>
          <c:showBubbleSize val="0"/>
        </c:dLbls>
        <c:gapWidth val="182"/>
        <c:axId val="1978350176"/>
        <c:axId val="1978347680"/>
      </c:barChart>
      <c:catAx>
        <c:axId val="1978350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8347680"/>
        <c:crosses val="autoZero"/>
        <c:auto val="1"/>
        <c:lblAlgn val="ctr"/>
        <c:lblOffset val="100"/>
        <c:noMultiLvlLbl val="0"/>
      </c:catAx>
      <c:valAx>
        <c:axId val="1978347680"/>
        <c:scaling>
          <c:orientation val="minMax"/>
        </c:scaling>
        <c:delete val="1"/>
        <c:axPos val="b"/>
        <c:numFmt formatCode="General" sourceLinked="1"/>
        <c:majorTickMark val="none"/>
        <c:minorTickMark val="none"/>
        <c:tickLblPos val="nextTo"/>
        <c:crossAx val="197835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[PROJECTINT213.xlsm]Sheet3!PivotTable13</c:name>
    <c:fmtId val="4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Sheet3!$B$109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Sheet3!$A$110:$A$116</c:f>
              <c:strCache>
                <c:ptCount val="6"/>
                <c:pt idx="0">
                  <c:v>Ajit Kumar</c:v>
                </c:pt>
                <c:pt idx="1">
                  <c:v>Amit</c:v>
                </c:pt>
                <c:pt idx="2">
                  <c:v>Chandu</c:v>
                </c:pt>
                <c:pt idx="3">
                  <c:v>Ramesh</c:v>
                </c:pt>
                <c:pt idx="4">
                  <c:v>Rohit Das</c:v>
                </c:pt>
                <c:pt idx="5">
                  <c:v>Siddhu</c:v>
                </c:pt>
              </c:strCache>
            </c:strRef>
          </c:cat>
          <c:val>
            <c:numRef>
              <c:f>Sheet3!$B$110:$B$116</c:f>
              <c:numCache>
                <c:formatCode>General</c:formatCode>
                <c:ptCount val="6"/>
                <c:pt idx="0">
                  <c:v>386030</c:v>
                </c:pt>
                <c:pt idx="1">
                  <c:v>184690</c:v>
                </c:pt>
                <c:pt idx="2">
                  <c:v>125600</c:v>
                </c:pt>
                <c:pt idx="3">
                  <c:v>139880</c:v>
                </c:pt>
                <c:pt idx="4">
                  <c:v>394410</c:v>
                </c:pt>
                <c:pt idx="5">
                  <c:v>551960</c:v>
                </c:pt>
              </c:numCache>
            </c:numRef>
          </c:val>
          <c:extLst>
            <c:ext xmlns:c16="http://schemas.microsoft.com/office/drawing/2014/chart" uri="{C3380CC4-5D6E-409C-BE32-E72D297353CC}">
              <c16:uniqueId val="{00000002-29C4-4034-993F-8DFDA9DA9D3A}"/>
            </c:ext>
          </c:extLst>
        </c:ser>
        <c:dLbls>
          <c:showLegendKey val="0"/>
          <c:showVal val="0"/>
          <c:showCatName val="0"/>
          <c:showSerName val="0"/>
          <c:showPercent val="0"/>
          <c:showBubbleSize val="0"/>
        </c:dLbls>
        <c:gapWidth val="219"/>
        <c:overlap val="-27"/>
        <c:axId val="1989310176"/>
        <c:axId val="1989310592"/>
      </c:barChart>
      <c:catAx>
        <c:axId val="198931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310592"/>
        <c:crosses val="autoZero"/>
        <c:auto val="1"/>
        <c:lblAlgn val="ctr"/>
        <c:lblOffset val="100"/>
        <c:noMultiLvlLbl val="0"/>
      </c:catAx>
      <c:valAx>
        <c:axId val="1989310592"/>
        <c:scaling>
          <c:orientation val="minMax"/>
        </c:scaling>
        <c:delete val="1"/>
        <c:axPos val="l"/>
        <c:numFmt formatCode="General" sourceLinked="1"/>
        <c:majorTickMark val="none"/>
        <c:minorTickMark val="none"/>
        <c:tickLblPos val="nextTo"/>
        <c:crossAx val="198931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[PROJECTINT213.xlsm]Sheet3!PivotTable14</c:name>
    <c:fmtId val="4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Sheet3!$B$122</c:f>
              <c:strCache>
                <c:ptCount val="1"/>
                <c:pt idx="0">
                  <c:v>Total</c:v>
                </c:pt>
              </c:strCache>
            </c:strRef>
          </c:tx>
          <c:spPr>
            <a:solidFill>
              <a:schemeClr val="accent1"/>
            </a:solidFill>
            <a:ln>
              <a:noFill/>
            </a:ln>
            <a:effectLst/>
          </c:spPr>
          <c:invertIfNegative val="0"/>
          <c:cat>
            <c:strRef>
              <c:f>Sheet3!$A$123:$A$126</c:f>
              <c:strCache>
                <c:ptCount val="3"/>
                <c:pt idx="0">
                  <c:v>Ajit Kumar</c:v>
                </c:pt>
                <c:pt idx="1">
                  <c:v>Rohit Das</c:v>
                </c:pt>
                <c:pt idx="2">
                  <c:v>Siddhu</c:v>
                </c:pt>
              </c:strCache>
            </c:strRef>
          </c:cat>
          <c:val>
            <c:numRef>
              <c:f>Sheet3!$B$123:$B$126</c:f>
              <c:numCache>
                <c:formatCode>General</c:formatCode>
                <c:ptCount val="3"/>
                <c:pt idx="0">
                  <c:v>394</c:v>
                </c:pt>
                <c:pt idx="1">
                  <c:v>360</c:v>
                </c:pt>
                <c:pt idx="2">
                  <c:v>419</c:v>
                </c:pt>
              </c:numCache>
            </c:numRef>
          </c:val>
          <c:extLst>
            <c:ext xmlns:c16="http://schemas.microsoft.com/office/drawing/2014/chart" uri="{C3380CC4-5D6E-409C-BE32-E72D297353CC}">
              <c16:uniqueId val="{00000000-F5B7-4E06-8B2F-377E6AA5CD28}"/>
            </c:ext>
          </c:extLst>
        </c:ser>
        <c:dLbls>
          <c:showLegendKey val="0"/>
          <c:showVal val="0"/>
          <c:showCatName val="0"/>
          <c:showSerName val="0"/>
          <c:showPercent val="0"/>
          <c:showBubbleSize val="0"/>
        </c:dLbls>
        <c:gapWidth val="182"/>
        <c:axId val="1907452768"/>
        <c:axId val="1907451520"/>
      </c:barChart>
      <c:catAx>
        <c:axId val="19074527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7451520"/>
        <c:crosses val="autoZero"/>
        <c:auto val="1"/>
        <c:lblAlgn val="ctr"/>
        <c:lblOffset val="100"/>
        <c:noMultiLvlLbl val="0"/>
      </c:catAx>
      <c:valAx>
        <c:axId val="1907451520"/>
        <c:scaling>
          <c:orientation val="minMax"/>
        </c:scaling>
        <c:delete val="1"/>
        <c:axPos val="b"/>
        <c:numFmt formatCode="General" sourceLinked="1"/>
        <c:majorTickMark val="none"/>
        <c:minorTickMark val="none"/>
        <c:tickLblPos val="nextTo"/>
        <c:crossAx val="1907452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[PROJECTINT213.xlsm]Sheet3!PivotTable17</c:name>
    <c:fmtId val="4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Sheet3!$B$136</c:f>
              <c:strCache>
                <c:ptCount val="1"/>
                <c:pt idx="0">
                  <c:v>Total</c:v>
                </c:pt>
              </c:strCache>
            </c:strRef>
          </c:tx>
          <c:spPr>
            <a:solidFill>
              <a:schemeClr val="accent1"/>
            </a:solidFill>
            <a:ln>
              <a:noFill/>
            </a:ln>
            <a:effectLst/>
          </c:spPr>
          <c:invertIfNegative val="0"/>
          <c:cat>
            <c:strRef>
              <c:f>Sheet3!$A$137:$A$140</c:f>
              <c:strCache>
                <c:ptCount val="3"/>
                <c:pt idx="0">
                  <c:v>Amit</c:v>
                </c:pt>
                <c:pt idx="1">
                  <c:v>Chandu</c:v>
                </c:pt>
                <c:pt idx="2">
                  <c:v>Ramesh</c:v>
                </c:pt>
              </c:strCache>
            </c:strRef>
          </c:cat>
          <c:val>
            <c:numRef>
              <c:f>Sheet3!$B$137:$B$140</c:f>
              <c:numCache>
                <c:formatCode>General</c:formatCode>
                <c:ptCount val="3"/>
                <c:pt idx="0">
                  <c:v>146</c:v>
                </c:pt>
                <c:pt idx="1">
                  <c:v>144</c:v>
                </c:pt>
                <c:pt idx="2">
                  <c:v>144</c:v>
                </c:pt>
              </c:numCache>
            </c:numRef>
          </c:val>
          <c:extLst>
            <c:ext xmlns:c16="http://schemas.microsoft.com/office/drawing/2014/chart" uri="{C3380CC4-5D6E-409C-BE32-E72D297353CC}">
              <c16:uniqueId val="{00000000-D899-4D30-8A9E-CDA5A03910F2}"/>
            </c:ext>
          </c:extLst>
        </c:ser>
        <c:dLbls>
          <c:showLegendKey val="0"/>
          <c:showVal val="0"/>
          <c:showCatName val="0"/>
          <c:showSerName val="0"/>
          <c:showPercent val="0"/>
          <c:showBubbleSize val="0"/>
        </c:dLbls>
        <c:gapWidth val="182"/>
        <c:axId val="1980542736"/>
        <c:axId val="1980548560"/>
      </c:barChart>
      <c:catAx>
        <c:axId val="1980542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0548560"/>
        <c:crosses val="autoZero"/>
        <c:auto val="1"/>
        <c:lblAlgn val="ctr"/>
        <c:lblOffset val="100"/>
        <c:noMultiLvlLbl val="0"/>
      </c:catAx>
      <c:valAx>
        <c:axId val="1980548560"/>
        <c:scaling>
          <c:orientation val="minMax"/>
        </c:scaling>
        <c:delete val="1"/>
        <c:axPos val="b"/>
        <c:numFmt formatCode="General" sourceLinked="1"/>
        <c:majorTickMark val="none"/>
        <c:minorTickMark val="none"/>
        <c:tickLblPos val="nextTo"/>
        <c:crossAx val="1980542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[PROJECTINT213.xlsm]Sheet3!PivotTable18</c:name>
    <c:fmtId val="50"/>
  </c:pivotSource>
  <c:chart>
    <c:autoTitleDeleted val="1"/>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Sheet3!$B$147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7B0-4CE1-84A2-FD825C78D2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B0-4CE1-84A2-FD825C78D27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Sheet3!$A$148:$A$150</c:f>
              <c:strCache>
                <c:ptCount val="2"/>
                <c:pt idx="0">
                  <c:v>Cash</c:v>
                </c:pt>
                <c:pt idx="1">
                  <c:v>Online</c:v>
                </c:pt>
              </c:strCache>
            </c:strRef>
          </c:cat>
          <c:val>
            <c:numRef>
              <c:f>Sheet3!$B$148:$B$150</c:f>
              <c:numCache>
                <c:formatCode>General</c:formatCode>
                <c:ptCount val="2"/>
                <c:pt idx="0">
                  <c:v>810</c:v>
                </c:pt>
                <c:pt idx="1">
                  <c:v>797</c:v>
                </c:pt>
              </c:numCache>
            </c:numRef>
          </c:val>
          <c:extLst>
            <c:ext xmlns:c16="http://schemas.microsoft.com/office/drawing/2014/chart" uri="{C3380CC4-5D6E-409C-BE32-E72D297353CC}">
              <c16:uniqueId val="{00000000-27A8-4F29-B39E-F1C293E6998D}"/>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layout>
        <c:manualLayout>
          <c:xMode val="edge"/>
          <c:yMode val="edge"/>
          <c:x val="0.73356496062992116"/>
          <c:y val="2.3726305045202706E-2"/>
          <c:w val="0.24421281714785653"/>
          <c:h val="0.146991834354039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[PROJECTINT213.xlsm]Sheet3!PivotTable1</c:name>
    <c:fmtId val="6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Sheet3!$B$155</c:f>
              <c:strCache>
                <c:ptCount val="1"/>
                <c:pt idx="0">
                  <c:v>Count of Region</c:v>
                </c:pt>
              </c:strCache>
            </c:strRef>
          </c:tx>
          <c:spPr>
            <a:solidFill>
              <a:schemeClr val="accent1"/>
            </a:solidFill>
            <a:ln>
              <a:noFill/>
            </a:ln>
            <a:effectLst/>
          </c:spPr>
          <c:invertIfNegative val="0"/>
          <c:cat>
            <c:strRef>
              <c:f>Sheet3!$A$156:$A$187</c:f>
              <c:strCache>
                <c:ptCount val="31"/>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Sheet3!$B$156:$B$187</c:f>
              <c:numCache>
                <c:formatCode>General</c:formatCode>
                <c:ptCount val="31"/>
                <c:pt idx="0">
                  <c:v>13</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11</c:v>
                </c:pt>
                <c:pt idx="29">
                  <c:v>11</c:v>
                </c:pt>
                <c:pt idx="30">
                  <c:v>7</c:v>
                </c:pt>
              </c:numCache>
            </c:numRef>
          </c:val>
          <c:extLst>
            <c:ext xmlns:c16="http://schemas.microsoft.com/office/drawing/2014/chart" uri="{C3380CC4-5D6E-409C-BE32-E72D297353CC}">
              <c16:uniqueId val="{00000000-2DFC-4D73-A9A7-AC79AB2E29C5}"/>
            </c:ext>
          </c:extLst>
        </c:ser>
        <c:dLbls>
          <c:showLegendKey val="0"/>
          <c:showVal val="0"/>
          <c:showCatName val="0"/>
          <c:showSerName val="0"/>
          <c:showPercent val="0"/>
          <c:showBubbleSize val="0"/>
        </c:dLbls>
        <c:gapWidth val="150"/>
        <c:axId val="1917436687"/>
        <c:axId val="1917437103"/>
      </c:barChart>
      <c:lineChart>
        <c:grouping val="standard"/>
        <c:varyColors val="0"/>
        <c:ser>
          <c:idx val="1"/>
          <c:order val="1"/>
          <c:tx>
            <c:strRef>
              <c:f>Sheet3!$C$155</c:f>
              <c:strCache>
                <c:ptCount val="1"/>
                <c:pt idx="0">
                  <c:v>Count of Salesman</c:v>
                </c:pt>
              </c:strCache>
            </c:strRef>
          </c:tx>
          <c:spPr>
            <a:ln w="28575" cap="rnd">
              <a:solidFill>
                <a:schemeClr val="accent2"/>
              </a:solidFill>
              <a:round/>
            </a:ln>
            <a:effectLst/>
          </c:spPr>
          <c:marker>
            <c:symbol val="none"/>
          </c:marker>
          <c:cat>
            <c:strRef>
              <c:f>Sheet3!$A$156:$A$187</c:f>
              <c:strCache>
                <c:ptCount val="31"/>
                <c:pt idx="0">
                  <c:v>01</c:v>
                </c:pt>
                <c:pt idx="1">
                  <c:v>02</c:v>
                </c:pt>
                <c:pt idx="2">
                  <c:v>03</c:v>
                </c:pt>
                <c:pt idx="3">
                  <c:v>04</c:v>
                </c:pt>
                <c:pt idx="4">
                  <c:v>05</c:v>
                </c:pt>
                <c:pt idx="5">
                  <c:v>06</c:v>
                </c:pt>
                <c:pt idx="6">
                  <c:v>07</c:v>
                </c:pt>
                <c:pt idx="7">
                  <c:v>08</c:v>
                </c:pt>
                <c:pt idx="8">
                  <c:v>09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Sheet3!$C$156:$C$187</c:f>
              <c:numCache>
                <c:formatCode>General</c:formatCode>
                <c:ptCount val="31"/>
                <c:pt idx="0">
                  <c:v>13</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11</c:v>
                </c:pt>
                <c:pt idx="29">
                  <c:v>11</c:v>
                </c:pt>
                <c:pt idx="30">
                  <c:v>7</c:v>
                </c:pt>
              </c:numCache>
            </c:numRef>
          </c:val>
          <c:smooth val="0"/>
          <c:extLst>
            <c:ext xmlns:c16="http://schemas.microsoft.com/office/drawing/2014/chart" uri="{C3380CC4-5D6E-409C-BE32-E72D297353CC}">
              <c16:uniqueId val="{00000001-2DFC-4D73-A9A7-AC79AB2E29C5}"/>
            </c:ext>
          </c:extLst>
        </c:ser>
        <c:dLbls>
          <c:showLegendKey val="0"/>
          <c:showVal val="0"/>
          <c:showCatName val="0"/>
          <c:showSerName val="0"/>
          <c:showPercent val="0"/>
          <c:showBubbleSize val="0"/>
        </c:dLbls>
        <c:marker val="1"/>
        <c:smooth val="0"/>
        <c:axId val="1917436687"/>
        <c:axId val="1917437103"/>
      </c:lineChart>
      <c:catAx>
        <c:axId val="1917436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37103"/>
        <c:crosses val="autoZero"/>
        <c:auto val="1"/>
        <c:lblAlgn val="ctr"/>
        <c:lblOffset val="100"/>
        <c:noMultiLvlLbl val="0"/>
      </c:catAx>
      <c:valAx>
        <c:axId val="1917437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436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K$29"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CheckBox" checked="Checked" fmlaLink="$K$28" lockText="1" noThreeD="1"/>
</file>

<file path=xl/drawings/_rels/drawing1.xml.rels><?xml version="1.0" encoding="UTF-8" standalone="yes"?>
<Relationships xmlns="http://schemas.openxmlformats.org/package/2006/relationships"><Relationship Id="rId3" Type="http://schemas.openxmlformats.org/officeDocument/2006/relationships/hyperlink" Target="#SALEMAN!A1"/><Relationship Id="rId7" Type="http://schemas.openxmlformats.org/officeDocument/2006/relationships/image" Target="../media/image3.png"/><Relationship Id="rId2" Type="http://schemas.openxmlformats.org/officeDocument/2006/relationships/hyperlink" Target="#PRODUCT!A1"/><Relationship Id="rId1" Type="http://schemas.openxmlformats.org/officeDocument/2006/relationships/hyperlink" Target="#DASHBOARD!A1"/><Relationship Id="rId6" Type="http://schemas.openxmlformats.org/officeDocument/2006/relationships/image" Target="../media/image2.svg"/><Relationship Id="rId5" Type="http://schemas.openxmlformats.org/officeDocument/2006/relationships/image" Target="../media/image1.png"/><Relationship Id="rId4" Type="http://schemas.openxmlformats.org/officeDocument/2006/relationships/hyperlink" Target="#ABOUT!A1"/></Relationships>
</file>

<file path=xl/drawings/_rels/drawing2.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DASHBOARD!A1"/><Relationship Id="rId7" Type="http://schemas.openxmlformats.org/officeDocument/2006/relationships/chart" Target="../charts/chart1.xml"/><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hyperlink" Target="#ABOUT!A1"/><Relationship Id="rId5" Type="http://schemas.openxmlformats.org/officeDocument/2006/relationships/hyperlink" Target="#SALEMAN!A1"/><Relationship Id="rId4" Type="http://schemas.openxmlformats.org/officeDocument/2006/relationships/hyperlink" Target="#PRODUCT!A1"/><Relationship Id="rId9"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hyperlink" Target="#DASHBOARD!A1"/><Relationship Id="rId7" Type="http://schemas.openxmlformats.org/officeDocument/2006/relationships/chart" Target="../charts/chart4.xml"/><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hyperlink" Target="#ABOUT!A1"/><Relationship Id="rId5" Type="http://schemas.openxmlformats.org/officeDocument/2006/relationships/hyperlink" Target="#SALEMAN!A1"/><Relationship Id="rId4" Type="http://schemas.openxmlformats.org/officeDocument/2006/relationships/hyperlink" Target="#PRODUCT!A1"/><Relationship Id="rId9"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ABOUT!A1"/><Relationship Id="rId3" Type="http://schemas.openxmlformats.org/officeDocument/2006/relationships/image" Target="../media/image6.png"/><Relationship Id="rId7" Type="http://schemas.openxmlformats.org/officeDocument/2006/relationships/chart" Target="../charts/chart7.xml"/><Relationship Id="rId12" Type="http://schemas.openxmlformats.org/officeDocument/2006/relationships/hyperlink" Target="#SALEMAN!A1"/><Relationship Id="rId2" Type="http://schemas.openxmlformats.org/officeDocument/2006/relationships/image" Target="../media/image5.svg"/><Relationship Id="rId16" Type="http://schemas.openxmlformats.org/officeDocument/2006/relationships/chart" Target="../charts/chart11.xml"/><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hyperlink" Target="#PRODUCT!A1"/><Relationship Id="rId5" Type="http://schemas.openxmlformats.org/officeDocument/2006/relationships/image" Target="../media/image8.png"/><Relationship Id="rId15" Type="http://schemas.openxmlformats.org/officeDocument/2006/relationships/hyperlink" Target="#Home!A1"/><Relationship Id="rId10" Type="http://schemas.openxmlformats.org/officeDocument/2006/relationships/hyperlink" Target="#DASHBOARD!A1"/><Relationship Id="rId4" Type="http://schemas.openxmlformats.org/officeDocument/2006/relationships/image" Target="../media/image7.svg"/><Relationship Id="rId9" Type="http://schemas.openxmlformats.org/officeDocument/2006/relationships/chart" Target="../charts/chart9.xml"/><Relationship Id="rId1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hyperlink" Target="#'FROM Registration'!A1"/><Relationship Id="rId2" Type="http://schemas.openxmlformats.org/officeDocument/2006/relationships/hyperlink" Target="#DASHBOARD!A1"/><Relationship Id="rId1" Type="http://schemas.openxmlformats.org/officeDocument/2006/relationships/image" Target="../media/image10.jpeg"/></Relationships>
</file>

<file path=xl/drawings/_rels/drawing6.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s>
</file>

<file path=xl/drawings/_rels/drawing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image" Target="../media/image12.emf"/><Relationship Id="rId1" Type="http://schemas.openxmlformats.org/officeDocument/2006/relationships/image" Target="../media/image1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19050</xdr:rowOff>
    </xdr:from>
    <xdr:to>
      <xdr:col>20</xdr:col>
      <xdr:colOff>603250</xdr:colOff>
      <xdr:row>3</xdr:row>
      <xdr:rowOff>50800</xdr:rowOff>
    </xdr:to>
    <xdr:sp macro="" textlink="">
      <xdr:nvSpPr>
        <xdr:cNvPr id="2" name="Double Wave 1" descr="nnn">
          <a:extLst>
            <a:ext uri="{FF2B5EF4-FFF2-40B4-BE49-F238E27FC236}">
              <a16:creationId xmlns:a16="http://schemas.microsoft.com/office/drawing/2014/main" id="{00000000-0008-0000-0000-000002000000}"/>
            </a:ext>
          </a:extLst>
        </xdr:cNvPr>
        <xdr:cNvSpPr/>
      </xdr:nvSpPr>
      <xdr:spPr>
        <a:xfrm>
          <a:off x="0" y="19050"/>
          <a:ext cx="12788900" cy="584200"/>
        </a:xfrm>
        <a:prstGeom prst="doubleWave">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ctr"/>
          <a:r>
            <a:rPr lang="en-IN" sz="1800" b="1" i="1" u="sng"/>
            <a:t>ABOUT</a:t>
          </a:r>
        </a:p>
      </xdr:txBody>
    </xdr:sp>
    <xdr:clientData/>
  </xdr:twoCellAnchor>
  <xdr:twoCellAnchor>
    <xdr:from>
      <xdr:col>0</xdr:col>
      <xdr:colOff>0</xdr:colOff>
      <xdr:row>3</xdr:row>
      <xdr:rowOff>6350</xdr:rowOff>
    </xdr:from>
    <xdr:to>
      <xdr:col>3</xdr:col>
      <xdr:colOff>450850</xdr:colOff>
      <xdr:row>30</xdr:row>
      <xdr:rowOff>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0" y="550636"/>
          <a:ext cx="2274207" cy="4892221"/>
        </a:xfrm>
        <a:prstGeom prst="rect">
          <a:avLst/>
        </a:prstGeom>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134471</xdr:colOff>
      <xdr:row>4</xdr:row>
      <xdr:rowOff>126999</xdr:rowOff>
    </xdr:from>
    <xdr:to>
      <xdr:col>3</xdr:col>
      <xdr:colOff>231588</xdr:colOff>
      <xdr:row>7</xdr:row>
      <xdr:rowOff>171822</xdr:rowOff>
    </xdr:to>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00000000-0008-0000-0000-00000C000000}"/>
            </a:ext>
          </a:extLst>
        </xdr:cNvPr>
        <xdr:cNvSpPr/>
      </xdr:nvSpPr>
      <xdr:spPr>
        <a:xfrm>
          <a:off x="134471" y="863599"/>
          <a:ext cx="1925917" cy="597273"/>
        </a:xfrm>
        <a:prstGeom prst="roundRect">
          <a:avLst>
            <a:gd name="adj" fmla="val 2733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1800" b="1"/>
            <a:t>DASHBOARD</a:t>
          </a:r>
        </a:p>
      </xdr:txBody>
    </xdr:sp>
    <xdr:clientData/>
  </xdr:twoCellAnchor>
  <xdr:twoCellAnchor>
    <xdr:from>
      <xdr:col>0</xdr:col>
      <xdr:colOff>119529</xdr:colOff>
      <xdr:row>9</xdr:row>
      <xdr:rowOff>43330</xdr:rowOff>
    </xdr:from>
    <xdr:to>
      <xdr:col>3</xdr:col>
      <xdr:colOff>216646</xdr:colOff>
      <xdr:row>12</xdr:row>
      <xdr:rowOff>88153</xdr:rowOff>
    </xdr:to>
    <xdr:sp macro="" textlink="">
      <xdr:nvSpPr>
        <xdr:cNvPr id="13" name="Rectangle: Rounded Corners 12">
          <a:hlinkClick xmlns:r="http://schemas.openxmlformats.org/officeDocument/2006/relationships" r:id="rId2"/>
          <a:extLst>
            <a:ext uri="{FF2B5EF4-FFF2-40B4-BE49-F238E27FC236}">
              <a16:creationId xmlns:a16="http://schemas.microsoft.com/office/drawing/2014/main" id="{00000000-0008-0000-0000-00000D000000}"/>
            </a:ext>
          </a:extLst>
        </xdr:cNvPr>
        <xdr:cNvSpPr/>
      </xdr:nvSpPr>
      <xdr:spPr>
        <a:xfrm>
          <a:off x="119529" y="1700680"/>
          <a:ext cx="1925917" cy="597273"/>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PRODUCT</a:t>
          </a:r>
        </a:p>
      </xdr:txBody>
    </xdr:sp>
    <xdr:clientData/>
  </xdr:twoCellAnchor>
  <xdr:twoCellAnchor>
    <xdr:from>
      <xdr:col>0</xdr:col>
      <xdr:colOff>112059</xdr:colOff>
      <xdr:row>13</xdr:row>
      <xdr:rowOff>147918</xdr:rowOff>
    </xdr:from>
    <xdr:to>
      <xdr:col>3</xdr:col>
      <xdr:colOff>209176</xdr:colOff>
      <xdr:row>17</xdr:row>
      <xdr:rowOff>5976</xdr:rowOff>
    </xdr:to>
    <xdr:sp macro="" textlink="">
      <xdr:nvSpPr>
        <xdr:cNvPr id="14" name="Rectangle: Rounded Corners 13">
          <a:hlinkClick xmlns:r="http://schemas.openxmlformats.org/officeDocument/2006/relationships" r:id="rId3"/>
          <a:extLst>
            <a:ext uri="{FF2B5EF4-FFF2-40B4-BE49-F238E27FC236}">
              <a16:creationId xmlns:a16="http://schemas.microsoft.com/office/drawing/2014/main" id="{00000000-0008-0000-0000-00000E000000}"/>
            </a:ext>
          </a:extLst>
        </xdr:cNvPr>
        <xdr:cNvSpPr/>
      </xdr:nvSpPr>
      <xdr:spPr>
        <a:xfrm>
          <a:off x="112059" y="2541868"/>
          <a:ext cx="1925917" cy="594658"/>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SALESMAN</a:t>
          </a:r>
        </a:p>
      </xdr:txBody>
    </xdr:sp>
    <xdr:clientData/>
  </xdr:twoCellAnchor>
  <xdr:twoCellAnchor>
    <xdr:from>
      <xdr:col>0</xdr:col>
      <xdr:colOff>141942</xdr:colOff>
      <xdr:row>18</xdr:row>
      <xdr:rowOff>140447</xdr:rowOff>
    </xdr:from>
    <xdr:to>
      <xdr:col>3</xdr:col>
      <xdr:colOff>239059</xdr:colOff>
      <xdr:row>21</xdr:row>
      <xdr:rowOff>185270</xdr:rowOff>
    </xdr:to>
    <xdr:sp macro="" textlink="">
      <xdr:nvSpPr>
        <xdr:cNvPr id="15" name="Rectangle: Rounded Corners 14">
          <a:hlinkClick xmlns:r="http://schemas.openxmlformats.org/officeDocument/2006/relationships" r:id="rId4"/>
          <a:extLst>
            <a:ext uri="{FF2B5EF4-FFF2-40B4-BE49-F238E27FC236}">
              <a16:creationId xmlns:a16="http://schemas.microsoft.com/office/drawing/2014/main" id="{00000000-0008-0000-0000-00000F000000}"/>
            </a:ext>
          </a:extLst>
        </xdr:cNvPr>
        <xdr:cNvSpPr/>
      </xdr:nvSpPr>
      <xdr:spPr>
        <a:xfrm>
          <a:off x="141942" y="3455147"/>
          <a:ext cx="1925917" cy="597273"/>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ABOUT</a:t>
          </a:r>
        </a:p>
      </xdr:txBody>
    </xdr:sp>
    <xdr:clientData/>
  </xdr:twoCellAnchor>
  <xdr:twoCellAnchor>
    <xdr:from>
      <xdr:col>3</xdr:col>
      <xdr:colOff>462514</xdr:colOff>
      <xdr:row>5</xdr:row>
      <xdr:rowOff>16689</xdr:rowOff>
    </xdr:from>
    <xdr:to>
      <xdr:col>21</xdr:col>
      <xdr:colOff>63499</xdr:colOff>
      <xdr:row>29</xdr:row>
      <xdr:rowOff>154212</xdr:rowOff>
    </xdr:to>
    <xdr:sp macro="" textlink="">
      <xdr:nvSpPr>
        <xdr:cNvPr id="25" name="Rectangle: Rounded Corners 24">
          <a:extLst>
            <a:ext uri="{FF2B5EF4-FFF2-40B4-BE49-F238E27FC236}">
              <a16:creationId xmlns:a16="http://schemas.microsoft.com/office/drawing/2014/main" id="{00000000-0008-0000-0000-000019000000}"/>
            </a:ext>
          </a:extLst>
        </xdr:cNvPr>
        <xdr:cNvSpPr/>
      </xdr:nvSpPr>
      <xdr:spPr>
        <a:xfrm>
          <a:off x="2285871" y="923832"/>
          <a:ext cx="14795628" cy="4491809"/>
        </a:xfrm>
        <a:prstGeom prst="roundRect">
          <a:avLst>
            <a:gd name="adj" fmla="val 19842"/>
          </a:avLst>
        </a:prstGeom>
        <a:solidFill>
          <a:schemeClr val="accent1">
            <a:lumMod val="40000"/>
            <a:lumOff val="6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199572</xdr:colOff>
      <xdr:row>3</xdr:row>
      <xdr:rowOff>46145</xdr:rowOff>
    </xdr:from>
    <xdr:to>
      <xdr:col>8</xdr:col>
      <xdr:colOff>81171</xdr:colOff>
      <xdr:row>7</xdr:row>
      <xdr:rowOff>146180</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2022929" y="590431"/>
          <a:ext cx="2920528" cy="82574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cap="none" spc="0">
              <a:ln w="0"/>
              <a:solidFill>
                <a:schemeClr val="tx1"/>
              </a:solidFill>
              <a:effectLst>
                <a:outerShdw blurRad="38100" dist="19050" dir="2700000" algn="tl" rotWithShape="0">
                  <a:schemeClr val="dk1">
                    <a:alpha val="40000"/>
                  </a:schemeClr>
                </a:outerShdw>
              </a:effectLst>
            </a:rPr>
            <a:t>About</a:t>
          </a:r>
        </a:p>
      </xdr:txBody>
    </xdr:sp>
    <xdr:clientData/>
  </xdr:twoCellAnchor>
  <xdr:twoCellAnchor editAs="oneCell">
    <xdr:from>
      <xdr:col>3</xdr:col>
      <xdr:colOff>554879</xdr:colOff>
      <xdr:row>3</xdr:row>
      <xdr:rowOff>-1</xdr:rowOff>
    </xdr:from>
    <xdr:to>
      <xdr:col>4</xdr:col>
      <xdr:colOff>352928</xdr:colOff>
      <xdr:row>5</xdr:row>
      <xdr:rowOff>41554</xdr:rowOff>
    </xdr:to>
    <xdr:pic>
      <xdr:nvPicPr>
        <xdr:cNvPr id="27" name="Graphic 26" descr="User">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378236" y="544285"/>
          <a:ext cx="405835" cy="404412"/>
        </a:xfrm>
        <a:prstGeom prst="rect">
          <a:avLst/>
        </a:prstGeom>
      </xdr:spPr>
    </xdr:pic>
    <xdr:clientData/>
  </xdr:twoCellAnchor>
  <xdr:twoCellAnchor>
    <xdr:from>
      <xdr:col>4</xdr:col>
      <xdr:colOff>335897</xdr:colOff>
      <xdr:row>6</xdr:row>
      <xdr:rowOff>45346</xdr:rowOff>
    </xdr:from>
    <xdr:to>
      <xdr:col>7</xdr:col>
      <xdr:colOff>346283</xdr:colOff>
      <xdr:row>7</xdr:row>
      <xdr:rowOff>136014</xdr:rowOff>
    </xdr:to>
    <xdr:sp macro="" textlink="">
      <xdr:nvSpPr>
        <xdr:cNvPr id="28" name="Rectangle: Rounded Corners 27">
          <a:extLst>
            <a:ext uri="{FF2B5EF4-FFF2-40B4-BE49-F238E27FC236}">
              <a16:creationId xmlns:a16="http://schemas.microsoft.com/office/drawing/2014/main" id="{00000000-0008-0000-0000-00001C000000}"/>
            </a:ext>
          </a:extLst>
        </xdr:cNvPr>
        <xdr:cNvSpPr/>
      </xdr:nvSpPr>
      <xdr:spPr>
        <a:xfrm>
          <a:off x="2767040" y="1133917"/>
          <a:ext cx="1833743" cy="272097"/>
        </a:xfrm>
        <a:prstGeom prst="roundRect">
          <a:avLst>
            <a:gd name="adj" fmla="val 5156"/>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rPr>
            <a:t>Project Developer :</a:t>
          </a:r>
        </a:p>
      </xdr:txBody>
    </xdr:sp>
    <xdr:clientData/>
  </xdr:twoCellAnchor>
  <xdr:twoCellAnchor>
    <xdr:from>
      <xdr:col>4</xdr:col>
      <xdr:colOff>224183</xdr:colOff>
      <xdr:row>7</xdr:row>
      <xdr:rowOff>129954</xdr:rowOff>
    </xdr:from>
    <xdr:to>
      <xdr:col>17</xdr:col>
      <xdr:colOff>571500</xdr:colOff>
      <xdr:row>12</xdr:row>
      <xdr:rowOff>95220</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2655326" y="1399954"/>
          <a:ext cx="8248531" cy="872409"/>
        </a:xfrm>
        <a:prstGeom prst="roundRect">
          <a:avLst>
            <a:gd name="adj" fmla="val 5156"/>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i="1">
              <a:solidFill>
                <a:schemeClr val="tx1"/>
              </a:solidFill>
            </a:rPr>
            <a:t>This</a:t>
          </a:r>
          <a:r>
            <a:rPr lang="en-US" sz="1400" b="0" i="1" baseline="0">
              <a:solidFill>
                <a:schemeClr val="tx1"/>
              </a:solidFill>
            </a:rPr>
            <a:t> Wonderful Project is Created By </a:t>
          </a:r>
          <a:r>
            <a:rPr lang="en-US" sz="1400" b="1" i="1" baseline="0">
              <a:solidFill>
                <a:schemeClr val="tx1"/>
              </a:solidFill>
            </a:rPr>
            <a:t>NILESH KUMAR</a:t>
          </a:r>
          <a:endParaRPr lang="en-US" sz="1400" b="0" i="1">
            <a:solidFill>
              <a:schemeClr val="tx1"/>
            </a:solidFill>
          </a:endParaRPr>
        </a:p>
      </xdr:txBody>
    </xdr:sp>
    <xdr:clientData/>
  </xdr:twoCellAnchor>
  <xdr:twoCellAnchor>
    <xdr:from>
      <xdr:col>4</xdr:col>
      <xdr:colOff>491018</xdr:colOff>
      <xdr:row>23</xdr:row>
      <xdr:rowOff>39186</xdr:rowOff>
    </xdr:from>
    <xdr:to>
      <xdr:col>7</xdr:col>
      <xdr:colOff>501404</xdr:colOff>
      <xdr:row>24</xdr:row>
      <xdr:rowOff>132946</xdr:rowOff>
    </xdr:to>
    <xdr:sp macro="" textlink="">
      <xdr:nvSpPr>
        <xdr:cNvPr id="30" name="Rectangle: Rounded Corners 29">
          <a:extLst>
            <a:ext uri="{FF2B5EF4-FFF2-40B4-BE49-F238E27FC236}">
              <a16:creationId xmlns:a16="http://schemas.microsoft.com/office/drawing/2014/main" id="{00000000-0008-0000-0000-00001E000000}"/>
            </a:ext>
          </a:extLst>
        </xdr:cNvPr>
        <xdr:cNvSpPr/>
      </xdr:nvSpPr>
      <xdr:spPr>
        <a:xfrm>
          <a:off x="2922161" y="4212043"/>
          <a:ext cx="1833743" cy="275189"/>
        </a:xfrm>
        <a:prstGeom prst="roundRect">
          <a:avLst>
            <a:gd name="adj" fmla="val 515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solidFill>
            </a:rPr>
            <a:t>Version :</a:t>
          </a:r>
        </a:p>
      </xdr:txBody>
    </xdr:sp>
    <xdr:clientData/>
  </xdr:twoCellAnchor>
  <xdr:twoCellAnchor>
    <xdr:from>
      <xdr:col>4</xdr:col>
      <xdr:colOff>471969</xdr:colOff>
      <xdr:row>24</xdr:row>
      <xdr:rowOff>151997</xdr:rowOff>
    </xdr:from>
    <xdr:to>
      <xdr:col>17</xdr:col>
      <xdr:colOff>340992</xdr:colOff>
      <xdr:row>29</xdr:row>
      <xdr:rowOff>117262</xdr:rowOff>
    </xdr:to>
    <xdr:sp macro=""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2903112" y="4506283"/>
          <a:ext cx="9775023" cy="872408"/>
        </a:xfrm>
        <a:prstGeom prst="roundRect">
          <a:avLst>
            <a:gd name="adj" fmla="val 5156"/>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0" i="1">
              <a:solidFill>
                <a:schemeClr val="tx1"/>
              </a:solidFill>
            </a:rPr>
            <a:t>This</a:t>
          </a:r>
          <a:r>
            <a:rPr lang="en-US" sz="1400" b="0" i="1" baseline="0">
              <a:solidFill>
                <a:schemeClr val="tx1"/>
              </a:solidFill>
            </a:rPr>
            <a:t> Project is created in excel 2019 version, but you can use excel 2013 or any later version</a:t>
          </a:r>
          <a:endParaRPr lang="en-US" sz="1400" b="0" i="1">
            <a:solidFill>
              <a:schemeClr val="tx1"/>
            </a:solidFill>
          </a:endParaRPr>
        </a:p>
      </xdr:txBody>
    </xdr:sp>
    <xdr:clientData/>
  </xdr:twoCellAnchor>
  <xdr:twoCellAnchor editAs="oneCell">
    <xdr:from>
      <xdr:col>15</xdr:col>
      <xdr:colOff>471714</xdr:colOff>
      <xdr:row>9</xdr:row>
      <xdr:rowOff>54430</xdr:rowOff>
    </xdr:from>
    <xdr:to>
      <xdr:col>19</xdr:col>
      <xdr:colOff>771070</xdr:colOff>
      <xdr:row>23</xdr:row>
      <xdr:rowOff>63500</xdr:rowOff>
    </xdr:to>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7"/>
        <a:stretch>
          <a:fillRect/>
        </a:stretch>
      </xdr:blipFill>
      <xdr:spPr>
        <a:xfrm>
          <a:off x="11593285" y="1687287"/>
          <a:ext cx="3456214" cy="2549070"/>
        </a:xfrm>
        <a:prstGeom prst="rect">
          <a:avLst/>
        </a:prstGeom>
      </xdr:spPr>
    </xdr:pic>
    <xdr:clientData/>
  </xdr:twoCellAnchor>
  <xdr:twoCellAnchor>
    <xdr:from>
      <xdr:col>4</xdr:col>
      <xdr:colOff>390070</xdr:colOff>
      <xdr:row>10</xdr:row>
      <xdr:rowOff>136070</xdr:rowOff>
    </xdr:from>
    <xdr:to>
      <xdr:col>11</xdr:col>
      <xdr:colOff>453570</xdr:colOff>
      <xdr:row>23</xdr:row>
      <xdr:rowOff>54428</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a:off x="2821213" y="1950356"/>
          <a:ext cx="5252357" cy="2276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eaLnBrk="1" latinLnBrk="0" hangingPunct="1"/>
          <a:r>
            <a:rPr lang="en-IN" sz="1600" b="1" i="0" cap="all">
              <a:solidFill>
                <a:schemeClr val="bg2">
                  <a:lumMod val="10000"/>
                </a:schemeClr>
              </a:solidFill>
              <a:effectLst/>
              <a:latin typeface="+mn-lt"/>
              <a:ea typeface="+mn-ea"/>
              <a:cs typeface="+mn-cs"/>
            </a:rPr>
            <a:t>NAME-NILESH KUMAR</a:t>
          </a:r>
          <a:endParaRPr lang="en-IN" sz="1600" b="1">
            <a:solidFill>
              <a:schemeClr val="bg2">
                <a:lumMod val="10000"/>
              </a:schemeClr>
            </a:solidFill>
            <a:effectLst/>
          </a:endParaRPr>
        </a:p>
        <a:p>
          <a:pPr rtl="0" eaLnBrk="1" latinLnBrk="0" hangingPunct="1"/>
          <a:r>
            <a:rPr lang="en-IN" sz="1600" b="1" i="0" cap="all">
              <a:solidFill>
                <a:schemeClr val="bg2">
                  <a:lumMod val="10000"/>
                </a:schemeClr>
              </a:solidFill>
              <a:effectLst/>
              <a:latin typeface="+mn-lt"/>
              <a:ea typeface="+mn-ea"/>
              <a:cs typeface="+mn-cs"/>
            </a:rPr>
            <a:t>COURSE:-B.TECH(CSE)</a:t>
          </a:r>
          <a:endParaRPr lang="en-IN" sz="1600" b="1">
            <a:solidFill>
              <a:schemeClr val="bg2">
                <a:lumMod val="10000"/>
              </a:schemeClr>
            </a:solidFill>
            <a:effectLst/>
          </a:endParaRPr>
        </a:p>
        <a:p>
          <a:pPr rtl="0" eaLnBrk="1" latinLnBrk="0" hangingPunct="1"/>
          <a:r>
            <a:rPr lang="en-US" sz="1600" b="1" i="0" cap="all">
              <a:solidFill>
                <a:schemeClr val="bg2">
                  <a:lumMod val="10000"/>
                </a:schemeClr>
              </a:solidFill>
              <a:effectLst/>
              <a:latin typeface="+mn-lt"/>
              <a:ea typeface="+mn-ea"/>
              <a:cs typeface="+mn-cs"/>
            </a:rPr>
            <a:t>COLLAGE :-LOVELY PROFESSIONAL UNIVERSITY PHAGWARA,    PUNJAB</a:t>
          </a:r>
          <a:endParaRPr lang="en-IN" sz="1600" b="1">
            <a:solidFill>
              <a:schemeClr val="bg2">
                <a:lumMod val="10000"/>
              </a:schemeClr>
            </a:solidFill>
            <a:effectLst/>
          </a:endParaRPr>
        </a:p>
        <a:p>
          <a:pPr rtl="0" eaLnBrk="1" latinLnBrk="0" hangingPunct="1"/>
          <a:r>
            <a:rPr lang="en-IN" sz="1600" b="1" i="0" cap="all">
              <a:solidFill>
                <a:schemeClr val="bg2">
                  <a:lumMod val="10000"/>
                </a:schemeClr>
              </a:solidFill>
              <a:effectLst/>
              <a:latin typeface="+mn-lt"/>
              <a:ea typeface="+mn-ea"/>
              <a:cs typeface="+mn-cs"/>
            </a:rPr>
            <a:t>REG NO:-12004482</a:t>
          </a:r>
          <a:endParaRPr lang="en-IN" sz="1600" b="1">
            <a:solidFill>
              <a:schemeClr val="bg2">
                <a:lumMod val="10000"/>
              </a:schemeClr>
            </a:solidFill>
            <a:effectLst/>
          </a:endParaRPr>
        </a:p>
        <a:p>
          <a:pPr rtl="0" eaLnBrk="1" latinLnBrk="0" hangingPunct="1"/>
          <a:r>
            <a:rPr lang="en-IN" sz="1600" b="1" i="0" cap="all">
              <a:solidFill>
                <a:schemeClr val="bg2">
                  <a:lumMod val="10000"/>
                </a:schemeClr>
              </a:solidFill>
              <a:effectLst/>
              <a:latin typeface="+mn-lt"/>
              <a:ea typeface="+mn-ea"/>
              <a:cs typeface="+mn-cs"/>
            </a:rPr>
            <a:t>ROLL NO :- RKM080B39</a:t>
          </a:r>
          <a:endParaRPr lang="en-IN" sz="1600" b="1">
            <a:solidFill>
              <a:schemeClr val="bg2">
                <a:lumMod val="10000"/>
              </a:schemeClr>
            </a:solidFill>
            <a:effectLst/>
          </a:endParaRPr>
        </a:p>
        <a:p>
          <a:pPr rtl="0" eaLnBrk="1" latinLnBrk="0" hangingPunct="1"/>
          <a:r>
            <a:rPr lang="en-IN" sz="1600" b="1" i="0" cap="all">
              <a:solidFill>
                <a:schemeClr val="bg2">
                  <a:lumMod val="10000"/>
                </a:schemeClr>
              </a:solidFill>
              <a:effectLst/>
              <a:latin typeface="+mn-lt"/>
              <a:ea typeface="+mn-ea"/>
              <a:cs typeface="+mn-cs"/>
            </a:rPr>
            <a:t>SUBJECT:-INT217</a:t>
          </a:r>
          <a:endParaRPr lang="en-IN" sz="1600" b="1">
            <a:solidFill>
              <a:schemeClr val="bg2">
                <a:lumMod val="10000"/>
              </a:schemeClr>
            </a:solidFill>
            <a:effectLst/>
          </a:endParaRPr>
        </a:p>
        <a:p>
          <a:pPr rtl="0" eaLnBrk="1" latinLnBrk="0" hangingPunct="1"/>
          <a:r>
            <a:rPr lang="en-IN" sz="1600" b="1" i="0" cap="all">
              <a:solidFill>
                <a:schemeClr val="bg2">
                  <a:lumMod val="10000"/>
                </a:schemeClr>
              </a:solidFill>
              <a:effectLst/>
              <a:latin typeface="+mn-lt"/>
              <a:ea typeface="+mn-ea"/>
              <a:cs typeface="+mn-cs"/>
            </a:rPr>
            <a:t>SECTION:-KM080</a:t>
          </a:r>
          <a:endParaRPr lang="en-IN" sz="1600" b="1">
            <a:solidFill>
              <a:schemeClr val="bg2">
                <a:lumMod val="10000"/>
              </a:schemeClr>
            </a:solidFill>
            <a:effectLst/>
          </a:endParaRPr>
        </a:p>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19050</xdr:rowOff>
    </xdr:from>
    <xdr:to>
      <xdr:col>20</xdr:col>
      <xdr:colOff>603250</xdr:colOff>
      <xdr:row>3</xdr:row>
      <xdr:rowOff>50800</xdr:rowOff>
    </xdr:to>
    <xdr:sp macro="" textlink="">
      <xdr:nvSpPr>
        <xdr:cNvPr id="2" name="Double Wave 1" descr="nnn">
          <a:extLst>
            <a:ext uri="{FF2B5EF4-FFF2-40B4-BE49-F238E27FC236}">
              <a16:creationId xmlns:a16="http://schemas.microsoft.com/office/drawing/2014/main" id="{00000000-0008-0000-0100-000002000000}"/>
            </a:ext>
          </a:extLst>
        </xdr:cNvPr>
        <xdr:cNvSpPr/>
      </xdr:nvSpPr>
      <xdr:spPr>
        <a:xfrm>
          <a:off x="0" y="19050"/>
          <a:ext cx="12788900" cy="584200"/>
        </a:xfrm>
        <a:prstGeom prst="doubleWave">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ctr"/>
          <a:r>
            <a:rPr lang="en-IN" sz="1800" b="1" i="1" u="sng"/>
            <a:t>SALESMAN</a:t>
          </a:r>
        </a:p>
      </xdr:txBody>
    </xdr:sp>
    <xdr:clientData/>
  </xdr:twoCellAnchor>
  <xdr:twoCellAnchor editAs="oneCell">
    <xdr:from>
      <xdr:col>3</xdr:col>
      <xdr:colOff>450850</xdr:colOff>
      <xdr:row>3</xdr:row>
      <xdr:rowOff>50800</xdr:rowOff>
    </xdr:from>
    <xdr:to>
      <xdr:col>9</xdr:col>
      <xdr:colOff>120650</xdr:colOff>
      <xdr:row>8</xdr:row>
      <xdr:rowOff>152400</xdr:rowOff>
    </xdr:to>
    <mc:AlternateContent xmlns:mc="http://schemas.openxmlformats.org/markup-compatibility/2006" xmlns:tsle="http://schemas.microsoft.com/office/drawing/2012/timeslicer">
      <mc:Choice Requires="tsle">
        <xdr:graphicFrame macro="">
          <xdr:nvGraphicFramePr>
            <xdr:cNvPr id="3" name="Date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2273024" y="609876"/>
              <a:ext cx="3314148" cy="103339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9</xdr:col>
      <xdr:colOff>120650</xdr:colOff>
      <xdr:row>3</xdr:row>
      <xdr:rowOff>50801</xdr:rowOff>
    </xdr:from>
    <xdr:to>
      <xdr:col>12</xdr:col>
      <xdr:colOff>546100</xdr:colOff>
      <xdr:row>8</xdr:row>
      <xdr:rowOff>177800</xdr:rowOff>
    </xdr:to>
    <mc:AlternateContent xmlns:mc="http://schemas.openxmlformats.org/markup-compatibility/2006" xmlns:a14="http://schemas.microsoft.com/office/drawing/2010/main">
      <mc:Choice Requires="a14">
        <xdr:graphicFrame macro="">
          <xdr:nvGraphicFramePr>
            <xdr:cNvPr id="4" name="Region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5587172" y="609877"/>
              <a:ext cx="2247624" cy="10587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450850</xdr:colOff>
      <xdr:row>8</xdr:row>
      <xdr:rowOff>152401</xdr:rowOff>
    </xdr:from>
    <xdr:to>
      <xdr:col>12</xdr:col>
      <xdr:colOff>533400</xdr:colOff>
      <xdr:row>12</xdr:row>
      <xdr:rowOff>57151</xdr:rowOff>
    </xdr:to>
    <mc:AlternateContent xmlns:mc="http://schemas.openxmlformats.org/markup-compatibility/2006" xmlns:a14="http://schemas.microsoft.com/office/drawing/2010/main">
      <mc:Choice Requires="a14">
        <xdr:graphicFrame macro="">
          <xdr:nvGraphicFramePr>
            <xdr:cNvPr id="5" name="Item 3">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Item 3"/>
            </a:graphicData>
          </a:graphic>
        </xdr:graphicFrame>
      </mc:Choice>
      <mc:Fallback xmlns="">
        <xdr:sp macro="" textlink="">
          <xdr:nvSpPr>
            <xdr:cNvPr id="0" name=""/>
            <xdr:cNvSpPr>
              <a:spLocks noTextEdit="1"/>
            </xdr:cNvSpPr>
          </xdr:nvSpPr>
          <xdr:spPr>
            <a:xfrm>
              <a:off x="2273024" y="1643271"/>
              <a:ext cx="5549072" cy="6501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xdr:row>
      <xdr:rowOff>6350</xdr:rowOff>
    </xdr:from>
    <xdr:to>
      <xdr:col>3</xdr:col>
      <xdr:colOff>450850</xdr:colOff>
      <xdr:row>39</xdr:row>
      <xdr:rowOff>99786</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0" y="558800"/>
          <a:ext cx="2279650" cy="6722836"/>
        </a:xfrm>
        <a:prstGeom prst="rect">
          <a:avLst/>
        </a:prstGeom>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387350</xdr:colOff>
      <xdr:row>12</xdr:row>
      <xdr:rowOff>101600</xdr:rowOff>
    </xdr:from>
    <xdr:to>
      <xdr:col>5</xdr:col>
      <xdr:colOff>14685</xdr:colOff>
      <xdr:row>15</xdr:row>
      <xdr:rowOff>82706</xdr:rowOff>
    </xdr:to>
    <xdr:pic>
      <xdr:nvPicPr>
        <xdr:cNvPr id="7" name="Graphic 6" descr="Bar chart with solid fill">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16150" y="2311400"/>
          <a:ext cx="846535" cy="533556"/>
        </a:xfrm>
        <a:prstGeom prst="rect">
          <a:avLst/>
        </a:prstGeom>
      </xdr:spPr>
    </xdr:pic>
    <xdr:clientData/>
  </xdr:twoCellAnchor>
  <xdr:twoCellAnchor>
    <xdr:from>
      <xdr:col>4</xdr:col>
      <xdr:colOff>508000</xdr:colOff>
      <xdr:row>13</xdr:row>
      <xdr:rowOff>57150</xdr:rowOff>
    </xdr:from>
    <xdr:to>
      <xdr:col>6</xdr:col>
      <xdr:colOff>577849</xdr:colOff>
      <xdr:row>15</xdr:row>
      <xdr:rowOff>82550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2946400" y="2451100"/>
          <a:ext cx="1289049" cy="393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Analytical</a:t>
          </a:r>
        </a:p>
      </xdr:txBody>
    </xdr:sp>
    <xdr:clientData/>
  </xdr:twoCellAnchor>
  <xdr:twoCellAnchor>
    <xdr:from>
      <xdr:col>12</xdr:col>
      <xdr:colOff>463037</xdr:colOff>
      <xdr:row>14</xdr:row>
      <xdr:rowOff>161115</xdr:rowOff>
    </xdr:from>
    <xdr:to>
      <xdr:col>20</xdr:col>
      <xdr:colOff>590037</xdr:colOff>
      <xdr:row>26</xdr:row>
      <xdr:rowOff>124829</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7778237" y="2739215"/>
          <a:ext cx="5003800" cy="2173514"/>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522942</xdr:colOff>
      <xdr:row>15</xdr:row>
      <xdr:rowOff>82176</xdr:rowOff>
    </xdr:from>
    <xdr:to>
      <xdr:col>12</xdr:col>
      <xdr:colOff>246530</xdr:colOff>
      <xdr:row>39</xdr:row>
      <xdr:rowOff>127000</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a:off x="2351742" y="2844426"/>
          <a:ext cx="5209988" cy="4464424"/>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12</xdr:col>
      <xdr:colOff>453571</xdr:colOff>
      <xdr:row>26</xdr:row>
      <xdr:rowOff>171824</xdr:rowOff>
    </xdr:from>
    <xdr:to>
      <xdr:col>20</xdr:col>
      <xdr:colOff>590176</xdr:colOff>
      <xdr:row>39</xdr:row>
      <xdr:rowOff>156882</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7768771" y="4959724"/>
          <a:ext cx="5013405" cy="2379008"/>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134471</xdr:colOff>
      <xdr:row>4</xdr:row>
      <xdr:rowOff>126999</xdr:rowOff>
    </xdr:from>
    <xdr:to>
      <xdr:col>3</xdr:col>
      <xdr:colOff>231588</xdr:colOff>
      <xdr:row>7</xdr:row>
      <xdr:rowOff>171822</xdr:rowOff>
    </xdr:to>
    <xdr:sp macro="" textlink="">
      <xdr:nvSpPr>
        <xdr:cNvPr id="12" name="Rectangle: Rounded Corners 11">
          <a:hlinkClick xmlns:r="http://schemas.openxmlformats.org/officeDocument/2006/relationships" r:id="rId3"/>
          <a:extLst>
            <a:ext uri="{FF2B5EF4-FFF2-40B4-BE49-F238E27FC236}">
              <a16:creationId xmlns:a16="http://schemas.microsoft.com/office/drawing/2014/main" id="{00000000-0008-0000-0100-00000C000000}"/>
            </a:ext>
          </a:extLst>
        </xdr:cNvPr>
        <xdr:cNvSpPr/>
      </xdr:nvSpPr>
      <xdr:spPr>
        <a:xfrm>
          <a:off x="134471" y="863599"/>
          <a:ext cx="1925917" cy="597273"/>
        </a:xfrm>
        <a:prstGeom prst="roundRect">
          <a:avLst>
            <a:gd name="adj" fmla="val 2733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1800" b="1"/>
            <a:t>DASHBOARD</a:t>
          </a:r>
        </a:p>
      </xdr:txBody>
    </xdr:sp>
    <xdr:clientData/>
  </xdr:twoCellAnchor>
  <xdr:twoCellAnchor>
    <xdr:from>
      <xdr:col>0</xdr:col>
      <xdr:colOff>119529</xdr:colOff>
      <xdr:row>9</xdr:row>
      <xdr:rowOff>43330</xdr:rowOff>
    </xdr:from>
    <xdr:to>
      <xdr:col>3</xdr:col>
      <xdr:colOff>216646</xdr:colOff>
      <xdr:row>12</xdr:row>
      <xdr:rowOff>88153</xdr:rowOff>
    </xdr:to>
    <xdr:sp macro="" textlink="">
      <xdr:nvSpPr>
        <xdr:cNvPr id="13" name="Rectangle: Rounded Corners 12">
          <a:hlinkClick xmlns:r="http://schemas.openxmlformats.org/officeDocument/2006/relationships" r:id="rId4"/>
          <a:extLst>
            <a:ext uri="{FF2B5EF4-FFF2-40B4-BE49-F238E27FC236}">
              <a16:creationId xmlns:a16="http://schemas.microsoft.com/office/drawing/2014/main" id="{00000000-0008-0000-0100-00000D000000}"/>
            </a:ext>
          </a:extLst>
        </xdr:cNvPr>
        <xdr:cNvSpPr/>
      </xdr:nvSpPr>
      <xdr:spPr>
        <a:xfrm>
          <a:off x="119529" y="1700680"/>
          <a:ext cx="1925917" cy="597273"/>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PRODUCT</a:t>
          </a:r>
        </a:p>
      </xdr:txBody>
    </xdr:sp>
    <xdr:clientData/>
  </xdr:twoCellAnchor>
  <xdr:twoCellAnchor>
    <xdr:from>
      <xdr:col>0</xdr:col>
      <xdr:colOff>112059</xdr:colOff>
      <xdr:row>13</xdr:row>
      <xdr:rowOff>147918</xdr:rowOff>
    </xdr:from>
    <xdr:to>
      <xdr:col>3</xdr:col>
      <xdr:colOff>209176</xdr:colOff>
      <xdr:row>17</xdr:row>
      <xdr:rowOff>5976</xdr:rowOff>
    </xdr:to>
    <xdr:sp macro="" textlink="">
      <xdr:nvSpPr>
        <xdr:cNvPr id="14" name="Rectangle: Rounded Corners 13">
          <a:hlinkClick xmlns:r="http://schemas.openxmlformats.org/officeDocument/2006/relationships" r:id="rId5"/>
          <a:extLst>
            <a:ext uri="{FF2B5EF4-FFF2-40B4-BE49-F238E27FC236}">
              <a16:creationId xmlns:a16="http://schemas.microsoft.com/office/drawing/2014/main" id="{00000000-0008-0000-0100-00000E000000}"/>
            </a:ext>
          </a:extLst>
        </xdr:cNvPr>
        <xdr:cNvSpPr/>
      </xdr:nvSpPr>
      <xdr:spPr>
        <a:xfrm>
          <a:off x="112059" y="2541868"/>
          <a:ext cx="1925917" cy="594658"/>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SALESMAN</a:t>
          </a:r>
        </a:p>
      </xdr:txBody>
    </xdr:sp>
    <xdr:clientData/>
  </xdr:twoCellAnchor>
  <xdr:twoCellAnchor>
    <xdr:from>
      <xdr:col>0</xdr:col>
      <xdr:colOff>141942</xdr:colOff>
      <xdr:row>18</xdr:row>
      <xdr:rowOff>140447</xdr:rowOff>
    </xdr:from>
    <xdr:to>
      <xdr:col>3</xdr:col>
      <xdr:colOff>239059</xdr:colOff>
      <xdr:row>21</xdr:row>
      <xdr:rowOff>185270</xdr:rowOff>
    </xdr:to>
    <xdr:sp macro="" textlink="">
      <xdr:nvSpPr>
        <xdr:cNvPr id="15" name="Rectangle: Rounded Corners 14">
          <a:hlinkClick xmlns:r="http://schemas.openxmlformats.org/officeDocument/2006/relationships" r:id="rId6"/>
          <a:extLst>
            <a:ext uri="{FF2B5EF4-FFF2-40B4-BE49-F238E27FC236}">
              <a16:creationId xmlns:a16="http://schemas.microsoft.com/office/drawing/2014/main" id="{00000000-0008-0000-0100-00000F000000}"/>
            </a:ext>
          </a:extLst>
        </xdr:cNvPr>
        <xdr:cNvSpPr/>
      </xdr:nvSpPr>
      <xdr:spPr>
        <a:xfrm>
          <a:off x="141942" y="3455147"/>
          <a:ext cx="1925917" cy="597273"/>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ABOUT</a:t>
          </a:r>
        </a:p>
      </xdr:txBody>
    </xdr:sp>
    <xdr:clientData/>
  </xdr:twoCellAnchor>
  <xdr:twoCellAnchor>
    <xdr:from>
      <xdr:col>3</xdr:col>
      <xdr:colOff>306851</xdr:colOff>
      <xdr:row>15</xdr:row>
      <xdr:rowOff>13804</xdr:rowOff>
    </xdr:from>
    <xdr:to>
      <xdr:col>7</xdr:col>
      <xdr:colOff>134889</xdr:colOff>
      <xdr:row>17</xdr:row>
      <xdr:rowOff>95447</xdr:rowOff>
    </xdr:to>
    <xdr:sp macro="" textlink="">
      <xdr:nvSpPr>
        <xdr:cNvPr id="16" name="Rectangle 15">
          <a:extLst>
            <a:ext uri="{FF2B5EF4-FFF2-40B4-BE49-F238E27FC236}">
              <a16:creationId xmlns:a16="http://schemas.microsoft.com/office/drawing/2014/main" id="{00000000-0008-0000-0100-000010000000}"/>
            </a:ext>
          </a:extLst>
        </xdr:cNvPr>
        <xdr:cNvSpPr/>
      </xdr:nvSpPr>
      <xdr:spPr>
        <a:xfrm>
          <a:off x="2129025" y="2809184"/>
          <a:ext cx="2257603" cy="4543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Sale</a:t>
          </a:r>
          <a:r>
            <a:rPr lang="en-IN" sz="1600" b="1" cap="none" spc="0" baseline="0">
              <a:ln w="0"/>
              <a:solidFill>
                <a:schemeClr val="tx1"/>
              </a:solidFill>
              <a:effectLst>
                <a:outerShdw blurRad="38100" dist="19050" dir="2700000" algn="tl" rotWithShape="0">
                  <a:schemeClr val="dk1">
                    <a:alpha val="40000"/>
                  </a:schemeClr>
                </a:outerShdw>
              </a:effectLst>
            </a:rPr>
            <a:t> of SALESMAN</a:t>
          </a:r>
          <a:endParaRPr lang="en-IN" sz="16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13</xdr:col>
      <xdr:colOff>81644</xdr:colOff>
      <xdr:row>3</xdr:row>
      <xdr:rowOff>27214</xdr:rowOff>
    </xdr:from>
    <xdr:to>
      <xdr:col>21</xdr:col>
      <xdr:colOff>9070</xdr:colOff>
      <xdr:row>14</xdr:row>
      <xdr:rowOff>130736</xdr:rowOff>
    </xdr:to>
    <xdr:sp macro="" textlink="">
      <xdr:nvSpPr>
        <xdr:cNvPr id="17" name="Rectangle 16">
          <a:extLst>
            <a:ext uri="{FF2B5EF4-FFF2-40B4-BE49-F238E27FC236}">
              <a16:creationId xmlns:a16="http://schemas.microsoft.com/office/drawing/2014/main" id="{00000000-0008-0000-0100-000011000000}"/>
            </a:ext>
          </a:extLst>
        </xdr:cNvPr>
        <xdr:cNvSpPr/>
      </xdr:nvSpPr>
      <xdr:spPr>
        <a:xfrm>
          <a:off x="7982858" y="571500"/>
          <a:ext cx="4780641" cy="20992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81643</xdr:colOff>
      <xdr:row>3</xdr:row>
      <xdr:rowOff>49626</xdr:rowOff>
    </xdr:from>
    <xdr:to>
      <xdr:col>15</xdr:col>
      <xdr:colOff>98718</xdr:colOff>
      <xdr:row>5</xdr:row>
      <xdr:rowOff>90181</xdr:rowOff>
    </xdr:to>
    <xdr:sp macro="" textlink="">
      <xdr:nvSpPr>
        <xdr:cNvPr id="18" name="Rectangle 17">
          <a:extLst>
            <a:ext uri="{FF2B5EF4-FFF2-40B4-BE49-F238E27FC236}">
              <a16:creationId xmlns:a16="http://schemas.microsoft.com/office/drawing/2014/main" id="{00000000-0008-0000-0100-000012000000}"/>
            </a:ext>
          </a:extLst>
        </xdr:cNvPr>
        <xdr:cNvSpPr/>
      </xdr:nvSpPr>
      <xdr:spPr>
        <a:xfrm>
          <a:off x="8006443" y="602076"/>
          <a:ext cx="1236275" cy="40885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Select</a:t>
          </a:r>
          <a:r>
            <a:rPr lang="en-IN" sz="1100" baseline="0">
              <a:solidFill>
                <a:schemeClr val="tx1"/>
              </a:solidFill>
            </a:rPr>
            <a:t> Days:</a:t>
          </a:r>
          <a:endParaRPr lang="en-IN" sz="1100">
            <a:solidFill>
              <a:schemeClr val="tx1"/>
            </a:solidFill>
          </a:endParaRPr>
        </a:p>
      </xdr:txBody>
    </xdr:sp>
    <xdr:clientData/>
  </xdr:twoCellAnchor>
  <xdr:twoCellAnchor editAs="oneCell">
    <xdr:from>
      <xdr:col>13</xdr:col>
      <xdr:colOff>96585</xdr:colOff>
      <xdr:row>4</xdr:row>
      <xdr:rowOff>129668</xdr:rowOff>
    </xdr:from>
    <xdr:to>
      <xdr:col>20</xdr:col>
      <xdr:colOff>589643</xdr:colOff>
      <xdr:row>14</xdr:row>
      <xdr:rowOff>130736</xdr:rowOff>
    </xdr:to>
    <mc:AlternateContent xmlns:mc="http://schemas.openxmlformats.org/markup-compatibility/2006" xmlns:a14="http://schemas.microsoft.com/office/drawing/2010/main">
      <mc:Choice Requires="a14">
        <xdr:graphicFrame macro="">
          <xdr:nvGraphicFramePr>
            <xdr:cNvPr id="19" name="Day 4">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0/slicer">
              <sle:slicer xmlns:sle="http://schemas.microsoft.com/office/drawing/2010/slicer" name="Day 4"/>
            </a:graphicData>
          </a:graphic>
        </xdr:graphicFrame>
      </mc:Choice>
      <mc:Fallback xmlns="">
        <xdr:sp macro="" textlink="">
          <xdr:nvSpPr>
            <xdr:cNvPr id="0" name=""/>
            <xdr:cNvSpPr>
              <a:spLocks noTextEdit="1"/>
            </xdr:cNvSpPr>
          </xdr:nvSpPr>
          <xdr:spPr>
            <a:xfrm>
              <a:off x="7992672" y="875103"/>
              <a:ext cx="4744797" cy="18646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435428</xdr:colOff>
      <xdr:row>14</xdr:row>
      <xdr:rowOff>144945</xdr:rowOff>
    </xdr:from>
    <xdr:to>
      <xdr:col>16</xdr:col>
      <xdr:colOff>358913</xdr:colOff>
      <xdr:row>16</xdr:row>
      <xdr:rowOff>62121</xdr:rowOff>
    </xdr:to>
    <xdr:sp macro="" textlink="">
      <xdr:nvSpPr>
        <xdr:cNvPr id="23" name="Rectangle 22">
          <a:extLst>
            <a:ext uri="{FF2B5EF4-FFF2-40B4-BE49-F238E27FC236}">
              <a16:creationId xmlns:a16="http://schemas.microsoft.com/office/drawing/2014/main" id="{00000000-0008-0000-0100-000017000000}"/>
            </a:ext>
          </a:extLst>
        </xdr:cNvPr>
        <xdr:cNvSpPr/>
      </xdr:nvSpPr>
      <xdr:spPr>
        <a:xfrm>
          <a:off x="7724124" y="2753967"/>
          <a:ext cx="2353050" cy="2898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Top</a:t>
          </a:r>
          <a:r>
            <a:rPr lang="en-IN" sz="1600" b="1" cap="none" spc="0" baseline="0">
              <a:ln w="0"/>
              <a:solidFill>
                <a:schemeClr val="tx1"/>
              </a:solidFill>
              <a:effectLst>
                <a:outerShdw blurRad="38100" dist="19050" dir="2700000" algn="tl" rotWithShape="0">
                  <a:schemeClr val="dk1">
                    <a:alpha val="40000"/>
                  </a:schemeClr>
                </a:outerShdw>
              </a:effectLst>
            </a:rPr>
            <a:t> 3 selling SALESMAN </a:t>
          </a:r>
          <a:endParaRPr lang="en-IN" sz="16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12</xdr:col>
      <xdr:colOff>352011</xdr:colOff>
      <xdr:row>26</xdr:row>
      <xdr:rowOff>89728</xdr:rowOff>
    </xdr:from>
    <xdr:to>
      <xdr:col>17</xdr:col>
      <xdr:colOff>48315</xdr:colOff>
      <xdr:row>28</xdr:row>
      <xdr:rowOff>152439</xdr:rowOff>
    </xdr:to>
    <xdr:sp macro="" textlink="">
      <xdr:nvSpPr>
        <xdr:cNvPr id="24" name="Rectangle 23">
          <a:extLst>
            <a:ext uri="{FF2B5EF4-FFF2-40B4-BE49-F238E27FC236}">
              <a16:creationId xmlns:a16="http://schemas.microsoft.com/office/drawing/2014/main" id="{00000000-0008-0000-0100-000018000000}"/>
            </a:ext>
          </a:extLst>
        </xdr:cNvPr>
        <xdr:cNvSpPr/>
      </xdr:nvSpPr>
      <xdr:spPr>
        <a:xfrm>
          <a:off x="7640707" y="4935054"/>
          <a:ext cx="2733260" cy="43542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Top 3 Less Selling SALESMAN</a:t>
          </a:r>
        </a:p>
      </xdr:txBody>
    </xdr:sp>
    <xdr:clientData/>
  </xdr:twoCellAnchor>
  <xdr:twoCellAnchor>
    <xdr:from>
      <xdr:col>12</xdr:col>
      <xdr:colOff>462642</xdr:colOff>
      <xdr:row>17</xdr:row>
      <xdr:rowOff>18143</xdr:rowOff>
    </xdr:from>
    <xdr:to>
      <xdr:col>20</xdr:col>
      <xdr:colOff>562429</xdr:colOff>
      <xdr:row>26</xdr:row>
      <xdr:rowOff>72571</xdr:rowOff>
    </xdr:to>
    <xdr:graphicFrame macro="">
      <xdr:nvGraphicFramePr>
        <xdr:cNvPr id="29" name="Chart 28">
          <a:extLst>
            <a:ext uri="{FF2B5EF4-FFF2-40B4-BE49-F238E27FC236}">
              <a16:creationId xmlns:a16="http://schemas.microsoft.com/office/drawing/2014/main" id="{00000000-0008-0000-0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475342</xdr:colOff>
      <xdr:row>28</xdr:row>
      <xdr:rowOff>117928</xdr:rowOff>
    </xdr:from>
    <xdr:to>
      <xdr:col>20</xdr:col>
      <xdr:colOff>553357</xdr:colOff>
      <xdr:row>39</xdr:row>
      <xdr:rowOff>108857</xdr:rowOff>
    </xdr:to>
    <xdr:graphicFrame macro="">
      <xdr:nvGraphicFramePr>
        <xdr:cNvPr id="30" name="Chart 29">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528384</xdr:colOff>
      <xdr:row>17</xdr:row>
      <xdr:rowOff>27214</xdr:rowOff>
    </xdr:from>
    <xdr:to>
      <xdr:col>12</xdr:col>
      <xdr:colOff>226785</xdr:colOff>
      <xdr:row>39</xdr:row>
      <xdr:rowOff>36286</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19050</xdr:rowOff>
    </xdr:from>
    <xdr:to>
      <xdr:col>20</xdr:col>
      <xdr:colOff>603250</xdr:colOff>
      <xdr:row>3</xdr:row>
      <xdr:rowOff>50800</xdr:rowOff>
    </xdr:to>
    <xdr:sp macro="" textlink="">
      <xdr:nvSpPr>
        <xdr:cNvPr id="2" name="Double Wave 1" descr="nnn">
          <a:extLst>
            <a:ext uri="{FF2B5EF4-FFF2-40B4-BE49-F238E27FC236}">
              <a16:creationId xmlns:a16="http://schemas.microsoft.com/office/drawing/2014/main" id="{00000000-0008-0000-0200-000002000000}"/>
            </a:ext>
          </a:extLst>
        </xdr:cNvPr>
        <xdr:cNvSpPr/>
      </xdr:nvSpPr>
      <xdr:spPr>
        <a:xfrm>
          <a:off x="0" y="19050"/>
          <a:ext cx="12795250" cy="584200"/>
        </a:xfrm>
        <a:prstGeom prst="doubleWave">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ctr"/>
          <a:r>
            <a:rPr lang="en-IN" sz="1800" b="1" i="1" u="sng"/>
            <a:t>PRODUCT</a:t>
          </a:r>
        </a:p>
      </xdr:txBody>
    </xdr:sp>
    <xdr:clientData/>
  </xdr:twoCellAnchor>
  <xdr:twoCellAnchor editAs="oneCell">
    <xdr:from>
      <xdr:col>3</xdr:col>
      <xdr:colOff>450850</xdr:colOff>
      <xdr:row>3</xdr:row>
      <xdr:rowOff>50800</xdr:rowOff>
    </xdr:from>
    <xdr:to>
      <xdr:col>9</xdr:col>
      <xdr:colOff>120650</xdr:colOff>
      <xdr:row>8</xdr:row>
      <xdr:rowOff>152400</xdr:rowOff>
    </xdr:to>
    <mc:AlternateContent xmlns:mc="http://schemas.openxmlformats.org/markup-compatibility/2006" xmlns:tsle="http://schemas.microsoft.com/office/drawing/2012/timeslicer">
      <mc:Choice Requires="tsle">
        <xdr:graphicFrame macro="">
          <xdr:nvGraphicFramePr>
            <xdr:cNvPr id="3" name="Date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2273024" y="609876"/>
              <a:ext cx="3314148" cy="103339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9</xdr:col>
      <xdr:colOff>120650</xdr:colOff>
      <xdr:row>3</xdr:row>
      <xdr:rowOff>50801</xdr:rowOff>
    </xdr:from>
    <xdr:to>
      <xdr:col>12</xdr:col>
      <xdr:colOff>546100</xdr:colOff>
      <xdr:row>8</xdr:row>
      <xdr:rowOff>177800</xdr:rowOff>
    </xdr:to>
    <mc:AlternateContent xmlns:mc="http://schemas.openxmlformats.org/markup-compatibility/2006" xmlns:a14="http://schemas.microsoft.com/office/drawing/2010/main">
      <mc:Choice Requires="a14">
        <xdr:graphicFrame macro="">
          <xdr:nvGraphicFramePr>
            <xdr:cNvPr id="4" name="Region 2">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587172" y="609877"/>
              <a:ext cx="2247624" cy="10587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450850</xdr:colOff>
      <xdr:row>8</xdr:row>
      <xdr:rowOff>152401</xdr:rowOff>
    </xdr:from>
    <xdr:to>
      <xdr:col>12</xdr:col>
      <xdr:colOff>533400</xdr:colOff>
      <xdr:row>12</xdr:row>
      <xdr:rowOff>57151</xdr:rowOff>
    </xdr:to>
    <mc:AlternateContent xmlns:mc="http://schemas.openxmlformats.org/markup-compatibility/2006" xmlns:a14="http://schemas.microsoft.com/office/drawing/2010/main">
      <mc:Choice Requires="a14">
        <xdr:graphicFrame macro="">
          <xdr:nvGraphicFramePr>
            <xdr:cNvPr id="5" name="Item 2">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Item 2"/>
            </a:graphicData>
          </a:graphic>
        </xdr:graphicFrame>
      </mc:Choice>
      <mc:Fallback xmlns="">
        <xdr:sp macro="" textlink="">
          <xdr:nvSpPr>
            <xdr:cNvPr id="0" name=""/>
            <xdr:cNvSpPr>
              <a:spLocks noTextEdit="1"/>
            </xdr:cNvSpPr>
          </xdr:nvSpPr>
          <xdr:spPr>
            <a:xfrm>
              <a:off x="2273024" y="1643271"/>
              <a:ext cx="5549072" cy="6501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xdr:row>
      <xdr:rowOff>6350</xdr:rowOff>
    </xdr:from>
    <xdr:to>
      <xdr:col>3</xdr:col>
      <xdr:colOff>450850</xdr:colOff>
      <xdr:row>39</xdr:row>
      <xdr:rowOff>99786</xdr:rowOff>
    </xdr:to>
    <xdr:sp macro="" textlink="">
      <xdr:nvSpPr>
        <xdr:cNvPr id="6" name="Rectangle 5">
          <a:extLst>
            <a:ext uri="{FF2B5EF4-FFF2-40B4-BE49-F238E27FC236}">
              <a16:creationId xmlns:a16="http://schemas.microsoft.com/office/drawing/2014/main" id="{00000000-0008-0000-0200-000006000000}"/>
            </a:ext>
          </a:extLst>
        </xdr:cNvPr>
        <xdr:cNvSpPr/>
      </xdr:nvSpPr>
      <xdr:spPr>
        <a:xfrm>
          <a:off x="0" y="550636"/>
          <a:ext cx="2274207" cy="6624864"/>
        </a:xfrm>
        <a:prstGeom prst="rect">
          <a:avLst/>
        </a:prstGeom>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387350</xdr:colOff>
      <xdr:row>12</xdr:row>
      <xdr:rowOff>101600</xdr:rowOff>
    </xdr:from>
    <xdr:to>
      <xdr:col>5</xdr:col>
      <xdr:colOff>14685</xdr:colOff>
      <xdr:row>15</xdr:row>
      <xdr:rowOff>82706</xdr:rowOff>
    </xdr:to>
    <xdr:pic>
      <xdr:nvPicPr>
        <xdr:cNvPr id="7" name="Graphic 6" descr="Bar chart with solid fill">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16150" y="2311400"/>
          <a:ext cx="846535" cy="533556"/>
        </a:xfrm>
        <a:prstGeom prst="rect">
          <a:avLst/>
        </a:prstGeom>
      </xdr:spPr>
    </xdr:pic>
    <xdr:clientData/>
  </xdr:twoCellAnchor>
  <xdr:twoCellAnchor>
    <xdr:from>
      <xdr:col>4</xdr:col>
      <xdr:colOff>508000</xdr:colOff>
      <xdr:row>13</xdr:row>
      <xdr:rowOff>57150</xdr:rowOff>
    </xdr:from>
    <xdr:to>
      <xdr:col>6</xdr:col>
      <xdr:colOff>577849</xdr:colOff>
      <xdr:row>15</xdr:row>
      <xdr:rowOff>82550</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2946400" y="2451100"/>
          <a:ext cx="1289049" cy="393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Analytical</a:t>
          </a:r>
        </a:p>
      </xdr:txBody>
    </xdr:sp>
    <xdr:clientData/>
  </xdr:twoCellAnchor>
  <xdr:twoCellAnchor>
    <xdr:from>
      <xdr:col>12</xdr:col>
      <xdr:colOff>463037</xdr:colOff>
      <xdr:row>14</xdr:row>
      <xdr:rowOff>161115</xdr:rowOff>
    </xdr:from>
    <xdr:to>
      <xdr:col>20</xdr:col>
      <xdr:colOff>590037</xdr:colOff>
      <xdr:row>26</xdr:row>
      <xdr:rowOff>124829</xdr:rowOff>
    </xdr:to>
    <xdr:sp macro="" textlink="">
      <xdr:nvSpPr>
        <xdr:cNvPr id="19" name="Rectangle 18">
          <a:extLst>
            <a:ext uri="{FF2B5EF4-FFF2-40B4-BE49-F238E27FC236}">
              <a16:creationId xmlns:a16="http://schemas.microsoft.com/office/drawing/2014/main" id="{00000000-0008-0000-0200-000013000000}"/>
            </a:ext>
          </a:extLst>
        </xdr:cNvPr>
        <xdr:cNvSpPr/>
      </xdr:nvSpPr>
      <xdr:spPr>
        <a:xfrm>
          <a:off x="7751733" y="2770137"/>
          <a:ext cx="4986130" cy="2200018"/>
        </a:xfrm>
        <a:prstGeom prst="rec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522942</xdr:colOff>
      <xdr:row>15</xdr:row>
      <xdr:rowOff>82176</xdr:rowOff>
    </xdr:from>
    <xdr:to>
      <xdr:col>12</xdr:col>
      <xdr:colOff>246530</xdr:colOff>
      <xdr:row>39</xdr:row>
      <xdr:rowOff>127000</xdr:rowOff>
    </xdr:to>
    <xdr:sp macro="" textlink="">
      <xdr:nvSpPr>
        <xdr:cNvPr id="22" name="Rectangle 21">
          <a:extLst>
            <a:ext uri="{FF2B5EF4-FFF2-40B4-BE49-F238E27FC236}">
              <a16:creationId xmlns:a16="http://schemas.microsoft.com/office/drawing/2014/main" id="{00000000-0008-0000-0200-000016000000}"/>
            </a:ext>
          </a:extLst>
        </xdr:cNvPr>
        <xdr:cNvSpPr/>
      </xdr:nvSpPr>
      <xdr:spPr>
        <a:xfrm>
          <a:off x="2346299" y="2803605"/>
          <a:ext cx="5193660" cy="4399109"/>
        </a:xfrm>
        <a:prstGeom prst="rect">
          <a:avLst/>
        </a:prstGeom>
        <a:solidFill>
          <a:schemeClr val="accent2">
            <a:lumMod val="40000"/>
            <a:lumOff val="6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12</xdr:col>
      <xdr:colOff>453571</xdr:colOff>
      <xdr:row>26</xdr:row>
      <xdr:rowOff>171824</xdr:rowOff>
    </xdr:from>
    <xdr:to>
      <xdr:col>20</xdr:col>
      <xdr:colOff>590176</xdr:colOff>
      <xdr:row>39</xdr:row>
      <xdr:rowOff>156882</xdr:rowOff>
    </xdr:to>
    <xdr:sp macro="" textlink="">
      <xdr:nvSpPr>
        <xdr:cNvPr id="24" name="Rectangle 23">
          <a:extLst>
            <a:ext uri="{FF2B5EF4-FFF2-40B4-BE49-F238E27FC236}">
              <a16:creationId xmlns:a16="http://schemas.microsoft.com/office/drawing/2014/main" id="{00000000-0008-0000-0200-000018000000}"/>
            </a:ext>
          </a:extLst>
        </xdr:cNvPr>
        <xdr:cNvSpPr/>
      </xdr:nvSpPr>
      <xdr:spPr>
        <a:xfrm>
          <a:off x="7747000" y="4888967"/>
          <a:ext cx="4998890" cy="2343629"/>
        </a:xfrm>
        <a:prstGeom prst="rect">
          <a:avLst/>
        </a:prstGeom>
        <a:solidFill>
          <a:schemeClr val="accent2">
            <a:lumMod val="40000"/>
            <a:lumOff val="6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134471</xdr:colOff>
      <xdr:row>4</xdr:row>
      <xdr:rowOff>126999</xdr:rowOff>
    </xdr:from>
    <xdr:to>
      <xdr:col>3</xdr:col>
      <xdr:colOff>231588</xdr:colOff>
      <xdr:row>7</xdr:row>
      <xdr:rowOff>171822</xdr:rowOff>
    </xdr:to>
    <xdr:sp macro="" textlink="">
      <xdr:nvSpPr>
        <xdr:cNvPr id="28" name="Rectangle: Rounded Corners 27">
          <a:hlinkClick xmlns:r="http://schemas.openxmlformats.org/officeDocument/2006/relationships" r:id="rId3"/>
          <a:extLst>
            <a:ext uri="{FF2B5EF4-FFF2-40B4-BE49-F238E27FC236}">
              <a16:creationId xmlns:a16="http://schemas.microsoft.com/office/drawing/2014/main" id="{00000000-0008-0000-0200-00001C000000}"/>
            </a:ext>
          </a:extLst>
        </xdr:cNvPr>
        <xdr:cNvSpPr/>
      </xdr:nvSpPr>
      <xdr:spPr>
        <a:xfrm>
          <a:off x="134471" y="863599"/>
          <a:ext cx="1925917" cy="597273"/>
        </a:xfrm>
        <a:prstGeom prst="roundRect">
          <a:avLst>
            <a:gd name="adj" fmla="val 2733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1800" b="1"/>
            <a:t>DASHBOARD</a:t>
          </a:r>
        </a:p>
      </xdr:txBody>
    </xdr:sp>
    <xdr:clientData/>
  </xdr:twoCellAnchor>
  <xdr:twoCellAnchor>
    <xdr:from>
      <xdr:col>0</xdr:col>
      <xdr:colOff>119529</xdr:colOff>
      <xdr:row>9</xdr:row>
      <xdr:rowOff>43330</xdr:rowOff>
    </xdr:from>
    <xdr:to>
      <xdr:col>3</xdr:col>
      <xdr:colOff>216646</xdr:colOff>
      <xdr:row>12</xdr:row>
      <xdr:rowOff>88153</xdr:rowOff>
    </xdr:to>
    <xdr:sp macro="" textlink="">
      <xdr:nvSpPr>
        <xdr:cNvPr id="29" name="Rectangle: Rounded Corners 28">
          <a:hlinkClick xmlns:r="http://schemas.openxmlformats.org/officeDocument/2006/relationships" r:id="rId4"/>
          <a:extLst>
            <a:ext uri="{FF2B5EF4-FFF2-40B4-BE49-F238E27FC236}">
              <a16:creationId xmlns:a16="http://schemas.microsoft.com/office/drawing/2014/main" id="{00000000-0008-0000-0200-00001D000000}"/>
            </a:ext>
          </a:extLst>
        </xdr:cNvPr>
        <xdr:cNvSpPr/>
      </xdr:nvSpPr>
      <xdr:spPr>
        <a:xfrm>
          <a:off x="119529" y="1700680"/>
          <a:ext cx="1925917" cy="597273"/>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PRODUCT</a:t>
          </a:r>
        </a:p>
      </xdr:txBody>
    </xdr:sp>
    <xdr:clientData/>
  </xdr:twoCellAnchor>
  <xdr:twoCellAnchor>
    <xdr:from>
      <xdr:col>0</xdr:col>
      <xdr:colOff>112059</xdr:colOff>
      <xdr:row>13</xdr:row>
      <xdr:rowOff>147918</xdr:rowOff>
    </xdr:from>
    <xdr:to>
      <xdr:col>3</xdr:col>
      <xdr:colOff>209176</xdr:colOff>
      <xdr:row>17</xdr:row>
      <xdr:rowOff>5976</xdr:rowOff>
    </xdr:to>
    <xdr:sp macro="" textlink="">
      <xdr:nvSpPr>
        <xdr:cNvPr id="30" name="Rectangle: Rounded Corners 29">
          <a:hlinkClick xmlns:r="http://schemas.openxmlformats.org/officeDocument/2006/relationships" r:id="rId5"/>
          <a:extLst>
            <a:ext uri="{FF2B5EF4-FFF2-40B4-BE49-F238E27FC236}">
              <a16:creationId xmlns:a16="http://schemas.microsoft.com/office/drawing/2014/main" id="{00000000-0008-0000-0200-00001E000000}"/>
            </a:ext>
          </a:extLst>
        </xdr:cNvPr>
        <xdr:cNvSpPr/>
      </xdr:nvSpPr>
      <xdr:spPr>
        <a:xfrm>
          <a:off x="112059" y="2541868"/>
          <a:ext cx="1925917" cy="594658"/>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SALESMAN</a:t>
          </a:r>
        </a:p>
      </xdr:txBody>
    </xdr:sp>
    <xdr:clientData/>
  </xdr:twoCellAnchor>
  <xdr:twoCellAnchor>
    <xdr:from>
      <xdr:col>0</xdr:col>
      <xdr:colOff>141942</xdr:colOff>
      <xdr:row>18</xdr:row>
      <xdr:rowOff>140447</xdr:rowOff>
    </xdr:from>
    <xdr:to>
      <xdr:col>3</xdr:col>
      <xdr:colOff>239059</xdr:colOff>
      <xdr:row>21</xdr:row>
      <xdr:rowOff>185270</xdr:rowOff>
    </xdr:to>
    <xdr:sp macro="" textlink="">
      <xdr:nvSpPr>
        <xdr:cNvPr id="31" name="Rectangle: Rounded Corners 30">
          <a:hlinkClick xmlns:r="http://schemas.openxmlformats.org/officeDocument/2006/relationships" r:id="rId6"/>
          <a:extLst>
            <a:ext uri="{FF2B5EF4-FFF2-40B4-BE49-F238E27FC236}">
              <a16:creationId xmlns:a16="http://schemas.microsoft.com/office/drawing/2014/main" id="{00000000-0008-0000-0200-00001F000000}"/>
            </a:ext>
          </a:extLst>
        </xdr:cNvPr>
        <xdr:cNvSpPr/>
      </xdr:nvSpPr>
      <xdr:spPr>
        <a:xfrm>
          <a:off x="141942" y="3455147"/>
          <a:ext cx="1925917" cy="597273"/>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ABOUT</a:t>
          </a:r>
        </a:p>
      </xdr:txBody>
    </xdr:sp>
    <xdr:clientData/>
  </xdr:twoCellAnchor>
  <xdr:twoCellAnchor>
    <xdr:from>
      <xdr:col>3</xdr:col>
      <xdr:colOff>99786</xdr:colOff>
      <xdr:row>15</xdr:row>
      <xdr:rowOff>-1</xdr:rowOff>
    </xdr:from>
    <xdr:to>
      <xdr:col>6</xdr:col>
      <xdr:colOff>535215</xdr:colOff>
      <xdr:row>17</xdr:row>
      <xdr:rowOff>81642</xdr:rowOff>
    </xdr:to>
    <xdr:sp macro="" textlink="">
      <xdr:nvSpPr>
        <xdr:cNvPr id="32" name="Rectangle 31">
          <a:extLst>
            <a:ext uri="{FF2B5EF4-FFF2-40B4-BE49-F238E27FC236}">
              <a16:creationId xmlns:a16="http://schemas.microsoft.com/office/drawing/2014/main" id="{00000000-0008-0000-0200-000020000000}"/>
            </a:ext>
          </a:extLst>
        </xdr:cNvPr>
        <xdr:cNvSpPr/>
      </xdr:nvSpPr>
      <xdr:spPr>
        <a:xfrm>
          <a:off x="1923143" y="2721428"/>
          <a:ext cx="2258786" cy="444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Sale</a:t>
          </a:r>
          <a:r>
            <a:rPr lang="en-IN" sz="1600" b="1" cap="none" spc="0" baseline="0">
              <a:ln w="0"/>
              <a:solidFill>
                <a:schemeClr val="tx1"/>
              </a:solidFill>
              <a:effectLst>
                <a:outerShdw blurRad="38100" dist="19050" dir="2700000" algn="tl" rotWithShape="0">
                  <a:schemeClr val="dk1">
                    <a:alpha val="40000"/>
                  </a:schemeClr>
                </a:outerShdw>
              </a:effectLst>
            </a:rPr>
            <a:t> of Product</a:t>
          </a:r>
          <a:endParaRPr lang="en-IN" sz="16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13</xdr:col>
      <xdr:colOff>81645</xdr:colOff>
      <xdr:row>3</xdr:row>
      <xdr:rowOff>27214</xdr:rowOff>
    </xdr:from>
    <xdr:to>
      <xdr:col>20</xdr:col>
      <xdr:colOff>589643</xdr:colOff>
      <xdr:row>14</xdr:row>
      <xdr:rowOff>130736</xdr:rowOff>
    </xdr:to>
    <xdr:sp macro="" textlink="">
      <xdr:nvSpPr>
        <xdr:cNvPr id="33" name="Rectangle 32">
          <a:extLst>
            <a:ext uri="{FF2B5EF4-FFF2-40B4-BE49-F238E27FC236}">
              <a16:creationId xmlns:a16="http://schemas.microsoft.com/office/drawing/2014/main" id="{00000000-0008-0000-0200-000021000000}"/>
            </a:ext>
          </a:extLst>
        </xdr:cNvPr>
        <xdr:cNvSpPr/>
      </xdr:nvSpPr>
      <xdr:spPr>
        <a:xfrm>
          <a:off x="7982859" y="571500"/>
          <a:ext cx="4762498" cy="209923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81643</xdr:colOff>
      <xdr:row>3</xdr:row>
      <xdr:rowOff>49626</xdr:rowOff>
    </xdr:from>
    <xdr:to>
      <xdr:col>15</xdr:col>
      <xdr:colOff>98718</xdr:colOff>
      <xdr:row>5</xdr:row>
      <xdr:rowOff>90181</xdr:rowOff>
    </xdr:to>
    <xdr:sp macro="" textlink="">
      <xdr:nvSpPr>
        <xdr:cNvPr id="34" name="Rectangle 33">
          <a:extLst>
            <a:ext uri="{FF2B5EF4-FFF2-40B4-BE49-F238E27FC236}">
              <a16:creationId xmlns:a16="http://schemas.microsoft.com/office/drawing/2014/main" id="{00000000-0008-0000-0200-000022000000}"/>
            </a:ext>
          </a:extLst>
        </xdr:cNvPr>
        <xdr:cNvSpPr/>
      </xdr:nvSpPr>
      <xdr:spPr>
        <a:xfrm>
          <a:off x="7982857" y="593912"/>
          <a:ext cx="1232647" cy="4034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Select</a:t>
          </a:r>
          <a:r>
            <a:rPr lang="en-IN" sz="1100" baseline="0">
              <a:solidFill>
                <a:schemeClr val="tx1"/>
              </a:solidFill>
            </a:rPr>
            <a:t> Days:</a:t>
          </a:r>
          <a:endParaRPr lang="en-IN" sz="1100">
            <a:solidFill>
              <a:schemeClr val="tx1"/>
            </a:solidFill>
          </a:endParaRPr>
        </a:p>
      </xdr:txBody>
    </xdr:sp>
    <xdr:clientData/>
  </xdr:twoCellAnchor>
  <xdr:twoCellAnchor editAs="oneCell">
    <xdr:from>
      <xdr:col>13</xdr:col>
      <xdr:colOff>96585</xdr:colOff>
      <xdr:row>4</xdr:row>
      <xdr:rowOff>129668</xdr:rowOff>
    </xdr:from>
    <xdr:to>
      <xdr:col>21</xdr:col>
      <xdr:colOff>0</xdr:colOff>
      <xdr:row>14</xdr:row>
      <xdr:rowOff>130736</xdr:rowOff>
    </xdr:to>
    <mc:AlternateContent xmlns:mc="http://schemas.openxmlformats.org/markup-compatibility/2006" xmlns:a14="http://schemas.microsoft.com/office/drawing/2010/main">
      <mc:Choice Requires="a14">
        <xdr:graphicFrame macro="">
          <xdr:nvGraphicFramePr>
            <xdr:cNvPr id="35" name="Day 2">
              <a:extLst>
                <a:ext uri="{FF2B5EF4-FFF2-40B4-BE49-F238E27FC236}">
                  <a16:creationId xmlns:a16="http://schemas.microsoft.com/office/drawing/2014/main" id="{00000000-0008-0000-0200-000023000000}"/>
                </a:ext>
              </a:extLst>
            </xdr:cNvPr>
            <xdr:cNvGraphicFramePr/>
          </xdr:nvGraphicFramePr>
          <xdr:xfrm>
            <a:off x="0" y="0"/>
            <a:ext cx="0" cy="0"/>
          </xdr:xfrm>
          <a:graphic>
            <a:graphicData uri="http://schemas.microsoft.com/office/drawing/2010/slicer">
              <sle:slicer xmlns:sle="http://schemas.microsoft.com/office/drawing/2010/slicer" name="Day 2"/>
            </a:graphicData>
          </a:graphic>
        </xdr:graphicFrame>
      </mc:Choice>
      <mc:Fallback xmlns="">
        <xdr:sp macro="" textlink="">
          <xdr:nvSpPr>
            <xdr:cNvPr id="0" name=""/>
            <xdr:cNvSpPr>
              <a:spLocks noTextEdit="1"/>
            </xdr:cNvSpPr>
          </xdr:nvSpPr>
          <xdr:spPr>
            <a:xfrm>
              <a:off x="7992672" y="875103"/>
              <a:ext cx="4748741" cy="18646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435428</xdr:colOff>
      <xdr:row>14</xdr:row>
      <xdr:rowOff>144945</xdr:rowOff>
    </xdr:from>
    <xdr:to>
      <xdr:col>15</xdr:col>
      <xdr:colOff>604194</xdr:colOff>
      <xdr:row>16</xdr:row>
      <xdr:rowOff>62121</xdr:rowOff>
    </xdr:to>
    <xdr:sp macro="" textlink="">
      <xdr:nvSpPr>
        <xdr:cNvPr id="39" name="Rectangle 38">
          <a:extLst>
            <a:ext uri="{FF2B5EF4-FFF2-40B4-BE49-F238E27FC236}">
              <a16:creationId xmlns:a16="http://schemas.microsoft.com/office/drawing/2014/main" id="{00000000-0008-0000-0200-000027000000}"/>
            </a:ext>
          </a:extLst>
        </xdr:cNvPr>
        <xdr:cNvSpPr/>
      </xdr:nvSpPr>
      <xdr:spPr>
        <a:xfrm>
          <a:off x="7724124" y="2753967"/>
          <a:ext cx="1990940" cy="2898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Top</a:t>
          </a:r>
          <a:r>
            <a:rPr lang="en-IN" sz="1600" b="1" cap="none" spc="0" baseline="0">
              <a:ln w="0"/>
              <a:solidFill>
                <a:schemeClr val="tx1"/>
              </a:solidFill>
              <a:effectLst>
                <a:outerShdw blurRad="38100" dist="19050" dir="2700000" algn="tl" rotWithShape="0">
                  <a:schemeClr val="dk1">
                    <a:alpha val="40000"/>
                  </a:schemeClr>
                </a:outerShdw>
              </a:effectLst>
            </a:rPr>
            <a:t> 3 selling Product </a:t>
          </a:r>
          <a:endParaRPr lang="en-IN" sz="16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12</xdr:col>
      <xdr:colOff>352011</xdr:colOff>
      <xdr:row>26</xdr:row>
      <xdr:rowOff>89728</xdr:rowOff>
    </xdr:from>
    <xdr:to>
      <xdr:col>16</xdr:col>
      <xdr:colOff>371733</xdr:colOff>
      <xdr:row>28</xdr:row>
      <xdr:rowOff>152439</xdr:rowOff>
    </xdr:to>
    <xdr:sp macro="" textlink="">
      <xdr:nvSpPr>
        <xdr:cNvPr id="40" name="Rectangle 39">
          <a:extLst>
            <a:ext uri="{FF2B5EF4-FFF2-40B4-BE49-F238E27FC236}">
              <a16:creationId xmlns:a16="http://schemas.microsoft.com/office/drawing/2014/main" id="{00000000-0008-0000-0200-000028000000}"/>
            </a:ext>
          </a:extLst>
        </xdr:cNvPr>
        <xdr:cNvSpPr/>
      </xdr:nvSpPr>
      <xdr:spPr>
        <a:xfrm>
          <a:off x="7640707" y="4935054"/>
          <a:ext cx="2449287" cy="43542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Top 3 Less Selling Product</a:t>
          </a:r>
        </a:p>
      </xdr:txBody>
    </xdr:sp>
    <xdr:clientData/>
  </xdr:twoCellAnchor>
  <xdr:twoCellAnchor>
    <xdr:from>
      <xdr:col>3</xdr:col>
      <xdr:colOff>579783</xdr:colOff>
      <xdr:row>16</xdr:row>
      <xdr:rowOff>158750</xdr:rowOff>
    </xdr:from>
    <xdr:to>
      <xdr:col>12</xdr:col>
      <xdr:colOff>193261</xdr:colOff>
      <xdr:row>39</xdr:row>
      <xdr:rowOff>0</xdr:rowOff>
    </xdr:to>
    <xdr:graphicFrame macro="">
      <xdr:nvGraphicFramePr>
        <xdr:cNvPr id="41" name="Chart 40">
          <a:extLst>
            <a:ext uri="{FF2B5EF4-FFF2-40B4-BE49-F238E27FC236}">
              <a16:creationId xmlns:a16="http://schemas.microsoft.com/office/drawing/2014/main" id="{00000000-0008-0000-02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512733</xdr:colOff>
      <xdr:row>16</xdr:row>
      <xdr:rowOff>157566</xdr:rowOff>
    </xdr:from>
    <xdr:to>
      <xdr:col>21</xdr:col>
      <xdr:colOff>9071</xdr:colOff>
      <xdr:row>26</xdr:row>
      <xdr:rowOff>90714</xdr:rowOff>
    </xdr:to>
    <xdr:graphicFrame macro="">
      <xdr:nvGraphicFramePr>
        <xdr:cNvPr id="42" name="Chart 41">
          <a:extLst>
            <a:ext uri="{FF2B5EF4-FFF2-40B4-BE49-F238E27FC236}">
              <a16:creationId xmlns:a16="http://schemas.microsoft.com/office/drawing/2014/main" id="{00000000-0008-0000-02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489857</xdr:colOff>
      <xdr:row>29</xdr:row>
      <xdr:rowOff>108857</xdr:rowOff>
    </xdr:from>
    <xdr:to>
      <xdr:col>20</xdr:col>
      <xdr:colOff>508000</xdr:colOff>
      <xdr:row>39</xdr:row>
      <xdr:rowOff>108858</xdr:rowOff>
    </xdr:to>
    <xdr:graphicFrame macro="">
      <xdr:nvGraphicFramePr>
        <xdr:cNvPr id="43" name="Chart 42">
          <a:extLst>
            <a:ext uri="{FF2B5EF4-FFF2-40B4-BE49-F238E27FC236}">
              <a16:creationId xmlns:a16="http://schemas.microsoft.com/office/drawing/2014/main" id="{00000000-0008-0000-02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19050</xdr:rowOff>
    </xdr:from>
    <xdr:to>
      <xdr:col>20</xdr:col>
      <xdr:colOff>603250</xdr:colOff>
      <xdr:row>3</xdr:row>
      <xdr:rowOff>50800</xdr:rowOff>
    </xdr:to>
    <xdr:sp macro="" textlink="">
      <xdr:nvSpPr>
        <xdr:cNvPr id="3" name="Double Wave 2" descr="nnn">
          <a:extLst>
            <a:ext uri="{FF2B5EF4-FFF2-40B4-BE49-F238E27FC236}">
              <a16:creationId xmlns:a16="http://schemas.microsoft.com/office/drawing/2014/main" id="{00000000-0008-0000-0300-000003000000}"/>
            </a:ext>
          </a:extLst>
        </xdr:cNvPr>
        <xdr:cNvSpPr/>
      </xdr:nvSpPr>
      <xdr:spPr>
        <a:xfrm>
          <a:off x="0" y="19050"/>
          <a:ext cx="12795250" cy="584200"/>
        </a:xfrm>
        <a:prstGeom prst="doubleWave">
          <a:avLst/>
        </a:prstGeom>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algn="ctr"/>
          <a:r>
            <a:rPr lang="en-IN" sz="1800" b="1" i="1" u="sng"/>
            <a:t>SALES</a:t>
          </a:r>
          <a:r>
            <a:rPr lang="en-IN" sz="1800" b="1" i="1" u="sng" baseline="0"/>
            <a:t> MANGEMENT SYSTEM DASHBOARD</a:t>
          </a:r>
          <a:endParaRPr lang="en-IN" sz="1800" b="1" i="1" u="sng"/>
        </a:p>
      </xdr:txBody>
    </xdr:sp>
    <xdr:clientData/>
  </xdr:twoCellAnchor>
  <xdr:twoCellAnchor editAs="oneCell">
    <xdr:from>
      <xdr:col>3</xdr:col>
      <xdr:colOff>450850</xdr:colOff>
      <xdr:row>3</xdr:row>
      <xdr:rowOff>50800</xdr:rowOff>
    </xdr:from>
    <xdr:to>
      <xdr:col>9</xdr:col>
      <xdr:colOff>120650</xdr:colOff>
      <xdr:row>8</xdr:row>
      <xdr:rowOff>152400</xdr:rowOff>
    </xdr:to>
    <mc:AlternateContent xmlns:mc="http://schemas.openxmlformats.org/markup-compatibility/2006" xmlns:tsle="http://schemas.microsoft.com/office/drawing/2012/timeslicer">
      <mc:Choice Requires="tsle">
        <xdr:graphicFrame macro="">
          <xdr:nvGraphicFramePr>
            <xdr:cNvPr id="4" name="Date 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2274207" y="595086"/>
              <a:ext cx="3316514" cy="100874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9</xdr:col>
      <xdr:colOff>120650</xdr:colOff>
      <xdr:row>3</xdr:row>
      <xdr:rowOff>50801</xdr:rowOff>
    </xdr:from>
    <xdr:to>
      <xdr:col>12</xdr:col>
      <xdr:colOff>546100</xdr:colOff>
      <xdr:row>8</xdr:row>
      <xdr:rowOff>177800</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590721" y="595087"/>
              <a:ext cx="2248808" cy="10341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450850</xdr:colOff>
      <xdr:row>8</xdr:row>
      <xdr:rowOff>152401</xdr:rowOff>
    </xdr:from>
    <xdr:to>
      <xdr:col>12</xdr:col>
      <xdr:colOff>533400</xdr:colOff>
      <xdr:row>12</xdr:row>
      <xdr:rowOff>57151</xdr:rowOff>
    </xdr:to>
    <mc:AlternateContent xmlns:mc="http://schemas.openxmlformats.org/markup-compatibility/2006" xmlns:a14="http://schemas.microsoft.com/office/drawing/2010/main">
      <mc:Choice Requires="a14">
        <xdr:graphicFrame macro="">
          <xdr:nvGraphicFramePr>
            <xdr:cNvPr id="10" name="Item 1">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0/slicer">
              <sle:slicer xmlns:sle="http://schemas.microsoft.com/office/drawing/2010/slicer" name="Item 1"/>
            </a:graphicData>
          </a:graphic>
        </xdr:graphicFrame>
      </mc:Choice>
      <mc:Fallback xmlns="">
        <xdr:sp macro="" textlink="">
          <xdr:nvSpPr>
            <xdr:cNvPr id="0" name=""/>
            <xdr:cNvSpPr>
              <a:spLocks noTextEdit="1"/>
            </xdr:cNvSpPr>
          </xdr:nvSpPr>
          <xdr:spPr>
            <a:xfrm>
              <a:off x="2274207" y="1603830"/>
              <a:ext cx="5552622" cy="6304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xdr:row>
      <xdr:rowOff>6350</xdr:rowOff>
    </xdr:from>
    <xdr:to>
      <xdr:col>3</xdr:col>
      <xdr:colOff>450850</xdr:colOff>
      <xdr:row>23</xdr:row>
      <xdr:rowOff>165652</xdr:rowOff>
    </xdr:to>
    <xdr:sp macro="" textlink="">
      <xdr:nvSpPr>
        <xdr:cNvPr id="11" name="Rectangle: Rounded Corners 10">
          <a:extLst>
            <a:ext uri="{FF2B5EF4-FFF2-40B4-BE49-F238E27FC236}">
              <a16:creationId xmlns:a16="http://schemas.microsoft.com/office/drawing/2014/main" id="{00000000-0008-0000-0300-00000B000000}"/>
            </a:ext>
          </a:extLst>
        </xdr:cNvPr>
        <xdr:cNvSpPr/>
      </xdr:nvSpPr>
      <xdr:spPr>
        <a:xfrm>
          <a:off x="0" y="565426"/>
          <a:ext cx="2273024" cy="3886476"/>
        </a:xfrm>
        <a:prstGeom prst="roundRect">
          <a:avLst/>
        </a:prstGeom>
      </xdr:spPr>
      <xdr:style>
        <a:lnRef idx="2">
          <a:schemeClr val="accent1">
            <a:shade val="50000"/>
          </a:schemeClr>
        </a:lnRef>
        <a:fillRef idx="1001">
          <a:schemeClr val="dk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3</xdr:col>
      <xdr:colOff>387350</xdr:colOff>
      <xdr:row>12</xdr:row>
      <xdr:rowOff>101600</xdr:rowOff>
    </xdr:from>
    <xdr:to>
      <xdr:col>5</xdr:col>
      <xdr:colOff>14685</xdr:colOff>
      <xdr:row>15</xdr:row>
      <xdr:rowOff>82706</xdr:rowOff>
    </xdr:to>
    <xdr:pic>
      <xdr:nvPicPr>
        <xdr:cNvPr id="12" name="Graphic 11" descr="Bar chart with solid fill">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216150" y="2311400"/>
          <a:ext cx="846535" cy="533556"/>
        </a:xfrm>
        <a:prstGeom prst="rect">
          <a:avLst/>
        </a:prstGeom>
      </xdr:spPr>
    </xdr:pic>
    <xdr:clientData/>
  </xdr:twoCellAnchor>
  <xdr:twoCellAnchor>
    <xdr:from>
      <xdr:col>4</xdr:col>
      <xdr:colOff>508000</xdr:colOff>
      <xdr:row>13</xdr:row>
      <xdr:rowOff>57150</xdr:rowOff>
    </xdr:from>
    <xdr:to>
      <xdr:col>6</xdr:col>
      <xdr:colOff>577849</xdr:colOff>
      <xdr:row>15</xdr:row>
      <xdr:rowOff>82550</xdr:rowOff>
    </xdr:to>
    <xdr:sp macro="" textlink="">
      <xdr:nvSpPr>
        <xdr:cNvPr id="13" name="Rectangle 12">
          <a:extLst>
            <a:ext uri="{FF2B5EF4-FFF2-40B4-BE49-F238E27FC236}">
              <a16:creationId xmlns:a16="http://schemas.microsoft.com/office/drawing/2014/main" id="{00000000-0008-0000-0300-00000D000000}"/>
            </a:ext>
          </a:extLst>
        </xdr:cNvPr>
        <xdr:cNvSpPr/>
      </xdr:nvSpPr>
      <xdr:spPr>
        <a:xfrm>
          <a:off x="2946400" y="2451100"/>
          <a:ext cx="1289049" cy="393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Analytical</a:t>
          </a:r>
        </a:p>
      </xdr:txBody>
    </xdr:sp>
    <xdr:clientData/>
  </xdr:twoCellAnchor>
  <xdr:twoCellAnchor>
    <xdr:from>
      <xdr:col>4</xdr:col>
      <xdr:colOff>0</xdr:colOff>
      <xdr:row>15</xdr:row>
      <xdr:rowOff>139700</xdr:rowOff>
    </xdr:from>
    <xdr:to>
      <xdr:col>8</xdr:col>
      <xdr:colOff>82550</xdr:colOff>
      <xdr:row>21</xdr:row>
      <xdr:rowOff>171450</xdr:rowOff>
    </xdr:to>
    <xdr:sp macro="" textlink="">
      <xdr:nvSpPr>
        <xdr:cNvPr id="14" name="Rectangle 13">
          <a:extLst>
            <a:ext uri="{FF2B5EF4-FFF2-40B4-BE49-F238E27FC236}">
              <a16:creationId xmlns:a16="http://schemas.microsoft.com/office/drawing/2014/main" id="{00000000-0008-0000-0300-00000E000000}"/>
            </a:ext>
          </a:extLst>
        </xdr:cNvPr>
        <xdr:cNvSpPr/>
      </xdr:nvSpPr>
      <xdr:spPr>
        <a:xfrm>
          <a:off x="2438400" y="2901950"/>
          <a:ext cx="2520950" cy="11366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158750</xdr:colOff>
      <xdr:row>15</xdr:row>
      <xdr:rowOff>127000</xdr:rowOff>
    </xdr:from>
    <xdr:to>
      <xdr:col>8</xdr:col>
      <xdr:colOff>38100</xdr:colOff>
      <xdr:row>21</xdr:row>
      <xdr:rowOff>165100</xdr:rowOff>
    </xdr:to>
    <xdr:sp macro="" textlink="">
      <xdr:nvSpPr>
        <xdr:cNvPr id="15" name="Rectangle 14">
          <a:extLst>
            <a:ext uri="{FF2B5EF4-FFF2-40B4-BE49-F238E27FC236}">
              <a16:creationId xmlns:a16="http://schemas.microsoft.com/office/drawing/2014/main" id="{00000000-0008-0000-0300-00000F000000}"/>
            </a:ext>
          </a:extLst>
        </xdr:cNvPr>
        <xdr:cNvSpPr/>
      </xdr:nvSpPr>
      <xdr:spPr>
        <a:xfrm>
          <a:off x="2597150" y="2889250"/>
          <a:ext cx="2317750" cy="11430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4</xdr:col>
      <xdr:colOff>88900</xdr:colOff>
      <xdr:row>16</xdr:row>
      <xdr:rowOff>146050</xdr:rowOff>
    </xdr:from>
    <xdr:to>
      <xdr:col>5</xdr:col>
      <xdr:colOff>125310</xdr:colOff>
      <xdr:row>21</xdr:row>
      <xdr:rowOff>0</xdr:rowOff>
    </xdr:to>
    <xdr:pic>
      <xdr:nvPicPr>
        <xdr:cNvPr id="16" name="Graphic 15" descr="Rupee with solid fill">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27300" y="3092450"/>
          <a:ext cx="646010" cy="774700"/>
        </a:xfrm>
        <a:prstGeom prst="rect">
          <a:avLst/>
        </a:prstGeom>
      </xdr:spPr>
    </xdr:pic>
    <xdr:clientData/>
  </xdr:twoCellAnchor>
  <xdr:twoCellAnchor>
    <xdr:from>
      <xdr:col>4</xdr:col>
      <xdr:colOff>412750</xdr:colOff>
      <xdr:row>15</xdr:row>
      <xdr:rowOff>88900</xdr:rowOff>
    </xdr:from>
    <xdr:to>
      <xdr:col>7</xdr:col>
      <xdr:colOff>481874</xdr:colOff>
      <xdr:row>18</xdr:row>
      <xdr:rowOff>3164</xdr:rowOff>
    </xdr:to>
    <xdr:sp macro="" textlink="">
      <xdr:nvSpPr>
        <xdr:cNvPr id="17" name="Rectangle 16">
          <a:extLst>
            <a:ext uri="{FF2B5EF4-FFF2-40B4-BE49-F238E27FC236}">
              <a16:creationId xmlns:a16="http://schemas.microsoft.com/office/drawing/2014/main" id="{00000000-0008-0000-0300-000011000000}"/>
            </a:ext>
          </a:extLst>
        </xdr:cNvPr>
        <xdr:cNvSpPr/>
      </xdr:nvSpPr>
      <xdr:spPr>
        <a:xfrm>
          <a:off x="2851150" y="2851150"/>
          <a:ext cx="1897924" cy="46671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     Total Amount</a:t>
          </a:r>
        </a:p>
      </xdr:txBody>
    </xdr:sp>
    <xdr:clientData/>
  </xdr:twoCellAnchor>
  <xdr:twoCellAnchor>
    <xdr:from>
      <xdr:col>4</xdr:col>
      <xdr:colOff>457200</xdr:colOff>
      <xdr:row>17</xdr:row>
      <xdr:rowOff>114300</xdr:rowOff>
    </xdr:from>
    <xdr:to>
      <xdr:col>7</xdr:col>
      <xdr:colOff>558800</xdr:colOff>
      <xdr:row>20</xdr:row>
      <xdr:rowOff>50800</xdr:rowOff>
    </xdr:to>
    <xdr:sp macro="" textlink="Sheet3!B11">
      <xdr:nvSpPr>
        <xdr:cNvPr id="18" name="Rectangle 17">
          <a:extLst>
            <a:ext uri="{FF2B5EF4-FFF2-40B4-BE49-F238E27FC236}">
              <a16:creationId xmlns:a16="http://schemas.microsoft.com/office/drawing/2014/main" id="{00000000-0008-0000-0300-000012000000}"/>
            </a:ext>
          </a:extLst>
        </xdr:cNvPr>
        <xdr:cNvSpPr/>
      </xdr:nvSpPr>
      <xdr:spPr>
        <a:xfrm>
          <a:off x="2895600" y="3244850"/>
          <a:ext cx="1930400" cy="4889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764C15C9-59D7-426E-BF21-B0A5EAAC2600}" type="TxLink">
            <a:rPr lang="en-US" sz="1400" b="1" i="0" u="none" strike="noStrike">
              <a:ln>
                <a:solidFill>
                  <a:sysClr val="windowText" lastClr="000000"/>
                </a:solidFill>
              </a:ln>
              <a:solidFill>
                <a:srgbClr val="000000"/>
              </a:solidFill>
              <a:latin typeface="Calibri"/>
              <a:ea typeface="Calibri"/>
              <a:cs typeface="Calibri"/>
            </a:rPr>
            <a:pPr algn="ctr"/>
            <a:t>17,82,570</a:t>
          </a:fld>
          <a:endParaRPr lang="en-IN" sz="1400" b="1" i="0">
            <a:ln>
              <a:solidFill>
                <a:sysClr val="windowText" lastClr="000000"/>
              </a:solidFill>
            </a:ln>
          </a:endParaRPr>
        </a:p>
      </xdr:txBody>
    </xdr:sp>
    <xdr:clientData/>
  </xdr:twoCellAnchor>
  <xdr:twoCellAnchor>
    <xdr:from>
      <xdr:col>8</xdr:col>
      <xdr:colOff>546100</xdr:colOff>
      <xdr:row>15</xdr:row>
      <xdr:rowOff>146050</xdr:rowOff>
    </xdr:from>
    <xdr:to>
      <xdr:col>12</xdr:col>
      <xdr:colOff>514350</xdr:colOff>
      <xdr:row>21</xdr:row>
      <xdr:rowOff>127000</xdr:rowOff>
    </xdr:to>
    <xdr:sp macro="" textlink="">
      <xdr:nvSpPr>
        <xdr:cNvPr id="20" name="Rectangle 19">
          <a:extLst>
            <a:ext uri="{FF2B5EF4-FFF2-40B4-BE49-F238E27FC236}">
              <a16:creationId xmlns:a16="http://schemas.microsoft.com/office/drawing/2014/main" id="{00000000-0008-0000-0300-000014000000}"/>
            </a:ext>
          </a:extLst>
        </xdr:cNvPr>
        <xdr:cNvSpPr/>
      </xdr:nvSpPr>
      <xdr:spPr>
        <a:xfrm>
          <a:off x="5422900" y="2908300"/>
          <a:ext cx="2406650" cy="1085850"/>
        </a:xfrm>
        <a:prstGeom prst="rect">
          <a:avLst/>
        </a:prstGeom>
        <a:ln>
          <a:noFill/>
        </a:ln>
      </xdr:spPr>
      <xdr:style>
        <a:lnRef idx="3">
          <a:schemeClr val="lt1"/>
        </a:lnRef>
        <a:fillRef idx="1">
          <a:schemeClr val="dk1"/>
        </a:fillRef>
        <a:effectRef idx="1">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120650</xdr:colOff>
      <xdr:row>15</xdr:row>
      <xdr:rowOff>158750</xdr:rowOff>
    </xdr:from>
    <xdr:to>
      <xdr:col>12</xdr:col>
      <xdr:colOff>482600</xdr:colOff>
      <xdr:row>21</xdr:row>
      <xdr:rowOff>101600</xdr:rowOff>
    </xdr:to>
    <xdr:sp macro="" textlink="">
      <xdr:nvSpPr>
        <xdr:cNvPr id="21" name="Rectangle 20">
          <a:extLst>
            <a:ext uri="{FF2B5EF4-FFF2-40B4-BE49-F238E27FC236}">
              <a16:creationId xmlns:a16="http://schemas.microsoft.com/office/drawing/2014/main" id="{00000000-0008-0000-0300-000015000000}"/>
            </a:ext>
          </a:extLst>
        </xdr:cNvPr>
        <xdr:cNvSpPr/>
      </xdr:nvSpPr>
      <xdr:spPr>
        <a:xfrm>
          <a:off x="5607050" y="2921000"/>
          <a:ext cx="2190750" cy="104775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9</xdr:col>
      <xdr:colOff>203200</xdr:colOff>
      <xdr:row>16</xdr:row>
      <xdr:rowOff>101600</xdr:rowOff>
    </xdr:from>
    <xdr:to>
      <xdr:col>10</xdr:col>
      <xdr:colOff>146031</xdr:colOff>
      <xdr:row>20</xdr:row>
      <xdr:rowOff>68338</xdr:rowOff>
    </xdr:to>
    <xdr:pic>
      <xdr:nvPicPr>
        <xdr:cNvPr id="22" name="Graphic 21" descr="Business Growth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689600" y="3048000"/>
          <a:ext cx="552431" cy="703338"/>
        </a:xfrm>
        <a:prstGeom prst="rect">
          <a:avLst/>
        </a:prstGeom>
      </xdr:spPr>
    </xdr:pic>
    <xdr:clientData/>
  </xdr:twoCellAnchor>
  <xdr:twoCellAnchor>
    <xdr:from>
      <xdr:col>8</xdr:col>
      <xdr:colOff>374650</xdr:colOff>
      <xdr:row>15</xdr:row>
      <xdr:rowOff>95250</xdr:rowOff>
    </xdr:from>
    <xdr:to>
      <xdr:col>13</xdr:col>
      <xdr:colOff>269274</xdr:colOff>
      <xdr:row>20</xdr:row>
      <xdr:rowOff>1770</xdr:rowOff>
    </xdr:to>
    <xdr:sp macro="" textlink="">
      <xdr:nvSpPr>
        <xdr:cNvPr id="23" name="Rectangle 22">
          <a:extLst>
            <a:ext uri="{FF2B5EF4-FFF2-40B4-BE49-F238E27FC236}">
              <a16:creationId xmlns:a16="http://schemas.microsoft.com/office/drawing/2014/main" id="{00000000-0008-0000-0300-000017000000}"/>
            </a:ext>
          </a:extLst>
        </xdr:cNvPr>
        <xdr:cNvSpPr/>
      </xdr:nvSpPr>
      <xdr:spPr>
        <a:xfrm>
          <a:off x="5251450" y="2857500"/>
          <a:ext cx="2942624" cy="82727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Total Sale</a:t>
          </a:r>
        </a:p>
      </xdr:txBody>
    </xdr:sp>
    <xdr:clientData/>
  </xdr:twoCellAnchor>
  <xdr:twoCellAnchor>
    <xdr:from>
      <xdr:col>10</xdr:col>
      <xdr:colOff>450850</xdr:colOff>
      <xdr:row>17</xdr:row>
      <xdr:rowOff>57150</xdr:rowOff>
    </xdr:from>
    <xdr:to>
      <xdr:col>13</xdr:col>
      <xdr:colOff>38100</xdr:colOff>
      <xdr:row>22</xdr:row>
      <xdr:rowOff>72400</xdr:rowOff>
    </xdr:to>
    <xdr:sp macro="" textlink="Sheet3!B14">
      <xdr:nvSpPr>
        <xdr:cNvPr id="24" name="Rectangle 23">
          <a:extLst>
            <a:ext uri="{FF2B5EF4-FFF2-40B4-BE49-F238E27FC236}">
              <a16:creationId xmlns:a16="http://schemas.microsoft.com/office/drawing/2014/main" id="{00000000-0008-0000-0300-000018000000}"/>
            </a:ext>
          </a:extLst>
        </xdr:cNvPr>
        <xdr:cNvSpPr/>
      </xdr:nvSpPr>
      <xdr:spPr>
        <a:xfrm>
          <a:off x="6546850" y="3187700"/>
          <a:ext cx="1416050" cy="936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96DBD3A-0232-4FB2-88B6-AE2E097DFA3E}" type="TxLink">
            <a:rPr lang="en-US" sz="1600" b="1" i="1" u="none" strike="noStrike">
              <a:solidFill>
                <a:srgbClr val="000000"/>
              </a:solidFill>
              <a:latin typeface="Calibri"/>
              <a:ea typeface="Calibri"/>
              <a:cs typeface="Calibri"/>
            </a:rPr>
            <a:pPr algn="l"/>
            <a:t>366</a:t>
          </a:fld>
          <a:endParaRPr lang="en-IN" sz="1600" b="1" i="1"/>
        </a:p>
      </xdr:txBody>
    </xdr:sp>
    <xdr:clientData/>
  </xdr:twoCellAnchor>
  <xdr:twoCellAnchor>
    <xdr:from>
      <xdr:col>13</xdr:col>
      <xdr:colOff>141940</xdr:colOff>
      <xdr:row>15</xdr:row>
      <xdr:rowOff>104587</xdr:rowOff>
    </xdr:from>
    <xdr:to>
      <xdr:col>20</xdr:col>
      <xdr:colOff>433293</xdr:colOff>
      <xdr:row>26</xdr:row>
      <xdr:rowOff>82177</xdr:rowOff>
    </xdr:to>
    <xdr:sp macro="" textlink="">
      <xdr:nvSpPr>
        <xdr:cNvPr id="25" name="Rectangle 24">
          <a:extLst>
            <a:ext uri="{FF2B5EF4-FFF2-40B4-BE49-F238E27FC236}">
              <a16:creationId xmlns:a16="http://schemas.microsoft.com/office/drawing/2014/main" id="{00000000-0008-0000-0300-000019000000}"/>
            </a:ext>
          </a:extLst>
        </xdr:cNvPr>
        <xdr:cNvSpPr/>
      </xdr:nvSpPr>
      <xdr:spPr>
        <a:xfrm>
          <a:off x="8105587" y="2906058"/>
          <a:ext cx="4579471" cy="2032001"/>
        </a:xfrm>
        <a:prstGeom prst="rect">
          <a:avLst/>
        </a:prstGeom>
        <a:solidFill>
          <a:schemeClr val="accent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89646</xdr:colOff>
      <xdr:row>15</xdr:row>
      <xdr:rowOff>29883</xdr:rowOff>
    </xdr:from>
    <xdr:to>
      <xdr:col>14</xdr:col>
      <xdr:colOff>296856</xdr:colOff>
      <xdr:row>16</xdr:row>
      <xdr:rowOff>140143</xdr:rowOff>
    </xdr:to>
    <xdr:sp macro="" textlink="">
      <xdr:nvSpPr>
        <xdr:cNvPr id="27" name="Rectangle 26">
          <a:extLst>
            <a:ext uri="{FF2B5EF4-FFF2-40B4-BE49-F238E27FC236}">
              <a16:creationId xmlns:a16="http://schemas.microsoft.com/office/drawing/2014/main" id="{00000000-0008-0000-0300-00001B000000}"/>
            </a:ext>
          </a:extLst>
        </xdr:cNvPr>
        <xdr:cNvSpPr/>
      </xdr:nvSpPr>
      <xdr:spPr>
        <a:xfrm>
          <a:off x="8053293" y="2831354"/>
          <a:ext cx="819798" cy="29702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Sale</a:t>
          </a:r>
          <a:r>
            <a:rPr lang="en-IN" sz="1600" b="1" cap="none" spc="0" baseline="0">
              <a:ln w="0"/>
              <a:solidFill>
                <a:schemeClr val="tx1"/>
              </a:solidFill>
              <a:effectLst>
                <a:outerShdw blurRad="38100" dist="19050" dir="2700000" algn="tl" rotWithShape="0">
                  <a:schemeClr val="dk1">
                    <a:alpha val="40000"/>
                  </a:schemeClr>
                </a:outerShdw>
              </a:effectLst>
            </a:rPr>
            <a:t> by</a:t>
          </a:r>
          <a:endParaRPr lang="en-IN" sz="16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13</xdr:col>
      <xdr:colOff>149412</xdr:colOff>
      <xdr:row>16</xdr:row>
      <xdr:rowOff>127001</xdr:rowOff>
    </xdr:from>
    <xdr:to>
      <xdr:col>20</xdr:col>
      <xdr:colOff>433294</xdr:colOff>
      <xdr:row>26</xdr:row>
      <xdr:rowOff>37354</xdr:rowOff>
    </xdr:to>
    <xdr:graphicFrame macro="">
      <xdr:nvGraphicFramePr>
        <xdr:cNvPr id="28" name="Chart 27">
          <a:extLst>
            <a:ext uri="{FF2B5EF4-FFF2-40B4-BE49-F238E27FC236}">
              <a16:creationId xmlns:a16="http://schemas.microsoft.com/office/drawing/2014/main" id="{00000000-0008-0000-0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24</xdr:row>
      <xdr:rowOff>12271</xdr:rowOff>
    </xdr:from>
    <xdr:to>
      <xdr:col>12</xdr:col>
      <xdr:colOff>237459</xdr:colOff>
      <xdr:row>40</xdr:row>
      <xdr:rowOff>64565</xdr:rowOff>
    </xdr:to>
    <xdr:sp macro="" textlink="">
      <xdr:nvSpPr>
        <xdr:cNvPr id="29" name="Rectangle 28">
          <a:extLst>
            <a:ext uri="{FF2B5EF4-FFF2-40B4-BE49-F238E27FC236}">
              <a16:creationId xmlns:a16="http://schemas.microsoft.com/office/drawing/2014/main" id="{00000000-0008-0000-0300-00001D000000}"/>
            </a:ext>
          </a:extLst>
        </xdr:cNvPr>
        <xdr:cNvSpPr/>
      </xdr:nvSpPr>
      <xdr:spPr>
        <a:xfrm>
          <a:off x="0" y="4366557"/>
          <a:ext cx="7530888" cy="2955151"/>
        </a:xfrm>
        <a:prstGeom prst="rect">
          <a:avLst/>
        </a:prstGeom>
        <a:solidFill>
          <a:schemeClr val="accent2">
            <a:lumMod val="40000"/>
            <a:lumOff val="6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0</xdr:colOff>
      <xdr:row>23</xdr:row>
      <xdr:rowOff>109924</xdr:rowOff>
    </xdr:from>
    <xdr:to>
      <xdr:col>3</xdr:col>
      <xdr:colOff>60158</xdr:colOff>
      <xdr:row>26</xdr:row>
      <xdr:rowOff>16344</xdr:rowOff>
    </xdr:to>
    <xdr:sp macro="" textlink="">
      <xdr:nvSpPr>
        <xdr:cNvPr id="30" name="Rectangle 29">
          <a:extLst>
            <a:ext uri="{FF2B5EF4-FFF2-40B4-BE49-F238E27FC236}">
              <a16:creationId xmlns:a16="http://schemas.microsoft.com/office/drawing/2014/main" id="{00000000-0008-0000-0300-00001E000000}"/>
            </a:ext>
          </a:extLst>
        </xdr:cNvPr>
        <xdr:cNvSpPr/>
      </xdr:nvSpPr>
      <xdr:spPr>
        <a:xfrm>
          <a:off x="0" y="4282781"/>
          <a:ext cx="1883515" cy="4507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Sale</a:t>
          </a:r>
          <a:r>
            <a:rPr lang="en-IN" sz="1600" b="1" cap="none" spc="0" baseline="0">
              <a:ln w="0"/>
              <a:solidFill>
                <a:schemeClr val="tx1"/>
              </a:solidFill>
              <a:effectLst>
                <a:outerShdw blurRad="38100" dist="19050" dir="2700000" algn="tl" rotWithShape="0">
                  <a:schemeClr val="dk1">
                    <a:alpha val="40000"/>
                  </a:schemeClr>
                </a:outerShdw>
              </a:effectLst>
            </a:rPr>
            <a:t> of Product</a:t>
          </a:r>
          <a:endParaRPr lang="en-IN" sz="16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12</xdr:col>
      <xdr:colOff>597647</xdr:colOff>
      <xdr:row>26</xdr:row>
      <xdr:rowOff>171824</xdr:rowOff>
    </xdr:from>
    <xdr:to>
      <xdr:col>20</xdr:col>
      <xdr:colOff>590176</xdr:colOff>
      <xdr:row>40</xdr:row>
      <xdr:rowOff>44450</xdr:rowOff>
    </xdr:to>
    <xdr:sp macro="" textlink="">
      <xdr:nvSpPr>
        <xdr:cNvPr id="31" name="Rectangle 30">
          <a:extLst>
            <a:ext uri="{FF2B5EF4-FFF2-40B4-BE49-F238E27FC236}">
              <a16:creationId xmlns:a16="http://schemas.microsoft.com/office/drawing/2014/main" id="{00000000-0008-0000-0300-00001F000000}"/>
            </a:ext>
          </a:extLst>
        </xdr:cNvPr>
        <xdr:cNvSpPr/>
      </xdr:nvSpPr>
      <xdr:spPr>
        <a:xfrm>
          <a:off x="7912847" y="4959724"/>
          <a:ext cx="4869329" cy="2450726"/>
        </a:xfrm>
        <a:prstGeom prst="rect">
          <a:avLst/>
        </a:prstGeom>
        <a:solidFill>
          <a:schemeClr val="accent2">
            <a:lumMod val="40000"/>
            <a:lumOff val="60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12</xdr:col>
      <xdr:colOff>485589</xdr:colOff>
      <xdr:row>26</xdr:row>
      <xdr:rowOff>119530</xdr:rowOff>
    </xdr:from>
    <xdr:to>
      <xdr:col>15</xdr:col>
      <xdr:colOff>140875</xdr:colOff>
      <xdr:row>29</xdr:row>
      <xdr:rowOff>32550</xdr:rowOff>
    </xdr:to>
    <xdr:sp macro="" textlink="">
      <xdr:nvSpPr>
        <xdr:cNvPr id="32" name="Rectangle 31">
          <a:extLst>
            <a:ext uri="{FF2B5EF4-FFF2-40B4-BE49-F238E27FC236}">
              <a16:creationId xmlns:a16="http://schemas.microsoft.com/office/drawing/2014/main" id="{00000000-0008-0000-0300-000020000000}"/>
            </a:ext>
          </a:extLst>
        </xdr:cNvPr>
        <xdr:cNvSpPr/>
      </xdr:nvSpPr>
      <xdr:spPr>
        <a:xfrm>
          <a:off x="7836648" y="4975412"/>
          <a:ext cx="1493051" cy="47331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cap="none" spc="0">
              <a:ln w="0"/>
              <a:solidFill>
                <a:schemeClr val="tx1"/>
              </a:solidFill>
              <a:effectLst>
                <a:outerShdw blurRad="38100" dist="19050" dir="2700000" algn="tl" rotWithShape="0">
                  <a:schemeClr val="dk1">
                    <a:alpha val="40000"/>
                  </a:schemeClr>
                </a:outerShdw>
              </a:effectLst>
            </a:rPr>
            <a:t>Sale</a:t>
          </a:r>
          <a:r>
            <a:rPr lang="en-IN" sz="1600" b="1" cap="none" spc="0" baseline="0">
              <a:ln w="0"/>
              <a:solidFill>
                <a:schemeClr val="tx1"/>
              </a:solidFill>
              <a:effectLst>
                <a:outerShdw blurRad="38100" dist="19050" dir="2700000" algn="tl" rotWithShape="0">
                  <a:schemeClr val="dk1">
                    <a:alpha val="40000"/>
                  </a:schemeClr>
                </a:outerShdw>
              </a:effectLst>
            </a:rPr>
            <a:t> by Region</a:t>
          </a:r>
          <a:endParaRPr lang="en-IN" sz="16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13</xdr:col>
      <xdr:colOff>149412</xdr:colOff>
      <xdr:row>28</xdr:row>
      <xdr:rowOff>67235</xdr:rowOff>
    </xdr:from>
    <xdr:to>
      <xdr:col>20</xdr:col>
      <xdr:colOff>515470</xdr:colOff>
      <xdr:row>39</xdr:row>
      <xdr:rowOff>97116</xdr:rowOff>
    </xdr:to>
    <xdr:graphicFrame macro="">
      <xdr:nvGraphicFramePr>
        <xdr:cNvPr id="33" name="Chart 32">
          <a:extLst>
            <a:ext uri="{FF2B5EF4-FFF2-40B4-BE49-F238E27FC236}">
              <a16:creationId xmlns:a16="http://schemas.microsoft.com/office/drawing/2014/main" id="{00000000-0008-0000-03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29881</xdr:colOff>
      <xdr:row>25</xdr:row>
      <xdr:rowOff>105121</xdr:rowOff>
    </xdr:from>
    <xdr:to>
      <xdr:col>12</xdr:col>
      <xdr:colOff>117928</xdr:colOff>
      <xdr:row>40</xdr:row>
      <xdr:rowOff>46851</xdr:rowOff>
    </xdr:to>
    <xdr:graphicFrame macro="">
      <xdr:nvGraphicFramePr>
        <xdr:cNvPr id="34" name="Chart 33">
          <a:extLst>
            <a:ext uri="{FF2B5EF4-FFF2-40B4-BE49-F238E27FC236}">
              <a16:creationId xmlns:a16="http://schemas.microsoft.com/office/drawing/2014/main" id="{00000000-0008-0000-03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134471</xdr:colOff>
      <xdr:row>4</xdr:row>
      <xdr:rowOff>126999</xdr:rowOff>
    </xdr:from>
    <xdr:to>
      <xdr:col>3</xdr:col>
      <xdr:colOff>231588</xdr:colOff>
      <xdr:row>7</xdr:row>
      <xdr:rowOff>171822</xdr:rowOff>
    </xdr:to>
    <xdr:sp macro="" textlink="">
      <xdr:nvSpPr>
        <xdr:cNvPr id="35" name="Rectangle: Rounded Corners 34">
          <a:hlinkClick xmlns:r="http://schemas.openxmlformats.org/officeDocument/2006/relationships" r:id="rId10"/>
          <a:extLst>
            <a:ext uri="{FF2B5EF4-FFF2-40B4-BE49-F238E27FC236}">
              <a16:creationId xmlns:a16="http://schemas.microsoft.com/office/drawing/2014/main" id="{00000000-0008-0000-0300-000023000000}"/>
            </a:ext>
          </a:extLst>
        </xdr:cNvPr>
        <xdr:cNvSpPr/>
      </xdr:nvSpPr>
      <xdr:spPr>
        <a:xfrm>
          <a:off x="134471" y="874058"/>
          <a:ext cx="1934882" cy="605117"/>
        </a:xfrm>
        <a:prstGeom prst="roundRect">
          <a:avLst>
            <a:gd name="adj" fmla="val 27334"/>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r>
            <a:rPr lang="en-IN" sz="1800" b="1"/>
            <a:t>DASHBOARD</a:t>
          </a:r>
        </a:p>
      </xdr:txBody>
    </xdr:sp>
    <xdr:clientData/>
  </xdr:twoCellAnchor>
  <xdr:twoCellAnchor>
    <xdr:from>
      <xdr:col>0</xdr:col>
      <xdr:colOff>119529</xdr:colOff>
      <xdr:row>9</xdr:row>
      <xdr:rowOff>43330</xdr:rowOff>
    </xdr:from>
    <xdr:to>
      <xdr:col>3</xdr:col>
      <xdr:colOff>216646</xdr:colOff>
      <xdr:row>12</xdr:row>
      <xdr:rowOff>88153</xdr:rowOff>
    </xdr:to>
    <xdr:sp macro="" textlink="">
      <xdr:nvSpPr>
        <xdr:cNvPr id="36" name="Rectangle: Rounded Corners 35">
          <a:hlinkClick xmlns:r="http://schemas.openxmlformats.org/officeDocument/2006/relationships" r:id="rId11"/>
          <a:extLst>
            <a:ext uri="{FF2B5EF4-FFF2-40B4-BE49-F238E27FC236}">
              <a16:creationId xmlns:a16="http://schemas.microsoft.com/office/drawing/2014/main" id="{00000000-0008-0000-0300-000024000000}"/>
            </a:ext>
          </a:extLst>
        </xdr:cNvPr>
        <xdr:cNvSpPr/>
      </xdr:nvSpPr>
      <xdr:spPr>
        <a:xfrm>
          <a:off x="119529" y="1724212"/>
          <a:ext cx="1934882" cy="605117"/>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PRODUCT</a:t>
          </a:r>
        </a:p>
      </xdr:txBody>
    </xdr:sp>
    <xdr:clientData/>
  </xdr:twoCellAnchor>
  <xdr:twoCellAnchor>
    <xdr:from>
      <xdr:col>0</xdr:col>
      <xdr:colOff>112059</xdr:colOff>
      <xdr:row>13</xdr:row>
      <xdr:rowOff>147918</xdr:rowOff>
    </xdr:from>
    <xdr:to>
      <xdr:col>3</xdr:col>
      <xdr:colOff>209176</xdr:colOff>
      <xdr:row>17</xdr:row>
      <xdr:rowOff>5976</xdr:rowOff>
    </xdr:to>
    <xdr:sp macro="" textlink="">
      <xdr:nvSpPr>
        <xdr:cNvPr id="37" name="Rectangle: Rounded Corners 36">
          <a:hlinkClick xmlns:r="http://schemas.openxmlformats.org/officeDocument/2006/relationships" r:id="rId12"/>
          <a:extLst>
            <a:ext uri="{FF2B5EF4-FFF2-40B4-BE49-F238E27FC236}">
              <a16:creationId xmlns:a16="http://schemas.microsoft.com/office/drawing/2014/main" id="{00000000-0008-0000-0300-000025000000}"/>
            </a:ext>
          </a:extLst>
        </xdr:cNvPr>
        <xdr:cNvSpPr/>
      </xdr:nvSpPr>
      <xdr:spPr>
        <a:xfrm>
          <a:off x="112059" y="2575859"/>
          <a:ext cx="1934882" cy="605117"/>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SALESMAN</a:t>
          </a:r>
        </a:p>
      </xdr:txBody>
    </xdr:sp>
    <xdr:clientData/>
  </xdr:twoCellAnchor>
  <xdr:twoCellAnchor>
    <xdr:from>
      <xdr:col>0</xdr:col>
      <xdr:colOff>141942</xdr:colOff>
      <xdr:row>18</xdr:row>
      <xdr:rowOff>140447</xdr:rowOff>
    </xdr:from>
    <xdr:to>
      <xdr:col>3</xdr:col>
      <xdr:colOff>239059</xdr:colOff>
      <xdr:row>21</xdr:row>
      <xdr:rowOff>185270</xdr:rowOff>
    </xdr:to>
    <xdr:sp macro="" textlink="">
      <xdr:nvSpPr>
        <xdr:cNvPr id="38" name="Rectangle: Rounded Corners 37">
          <a:hlinkClick xmlns:r="http://schemas.openxmlformats.org/officeDocument/2006/relationships" r:id="rId13"/>
          <a:extLst>
            <a:ext uri="{FF2B5EF4-FFF2-40B4-BE49-F238E27FC236}">
              <a16:creationId xmlns:a16="http://schemas.microsoft.com/office/drawing/2014/main" id="{00000000-0008-0000-0300-000026000000}"/>
            </a:ext>
          </a:extLst>
        </xdr:cNvPr>
        <xdr:cNvSpPr/>
      </xdr:nvSpPr>
      <xdr:spPr>
        <a:xfrm>
          <a:off x="141942" y="3502212"/>
          <a:ext cx="1934882" cy="605117"/>
        </a:xfrm>
        <a:prstGeom prst="roundRect">
          <a:avLst>
            <a:gd name="adj" fmla="val 27334"/>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ctr"/>
          <a:r>
            <a:rPr lang="en-IN" sz="1800" b="1"/>
            <a:t>ABOUT</a:t>
          </a:r>
        </a:p>
      </xdr:txBody>
    </xdr:sp>
    <xdr:clientData/>
  </xdr:twoCellAnchor>
  <xdr:twoCellAnchor>
    <xdr:from>
      <xdr:col>12</xdr:col>
      <xdr:colOff>575236</xdr:colOff>
      <xdr:row>3</xdr:row>
      <xdr:rowOff>52293</xdr:rowOff>
    </xdr:from>
    <xdr:to>
      <xdr:col>20</xdr:col>
      <xdr:colOff>508000</xdr:colOff>
      <xdr:row>14</xdr:row>
      <xdr:rowOff>171822</xdr:rowOff>
    </xdr:to>
    <xdr:sp macro="" textlink="">
      <xdr:nvSpPr>
        <xdr:cNvPr id="39" name="Rectangle 38">
          <a:extLst>
            <a:ext uri="{FF2B5EF4-FFF2-40B4-BE49-F238E27FC236}">
              <a16:creationId xmlns:a16="http://schemas.microsoft.com/office/drawing/2014/main" id="{00000000-0008-0000-0300-000027000000}"/>
            </a:ext>
          </a:extLst>
        </xdr:cNvPr>
        <xdr:cNvSpPr/>
      </xdr:nvSpPr>
      <xdr:spPr>
        <a:xfrm>
          <a:off x="7926295" y="612587"/>
          <a:ext cx="4833470" cy="217394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575234</xdr:colOff>
      <xdr:row>3</xdr:row>
      <xdr:rowOff>127000</xdr:rowOff>
    </xdr:from>
    <xdr:to>
      <xdr:col>14</xdr:col>
      <xdr:colOff>582705</xdr:colOff>
      <xdr:row>5</xdr:row>
      <xdr:rowOff>156882</xdr:rowOff>
    </xdr:to>
    <xdr:sp macro="" textlink="">
      <xdr:nvSpPr>
        <xdr:cNvPr id="40" name="Rectangle 39">
          <a:extLst>
            <a:ext uri="{FF2B5EF4-FFF2-40B4-BE49-F238E27FC236}">
              <a16:creationId xmlns:a16="http://schemas.microsoft.com/office/drawing/2014/main" id="{00000000-0008-0000-0300-000028000000}"/>
            </a:ext>
          </a:extLst>
        </xdr:cNvPr>
        <xdr:cNvSpPr/>
      </xdr:nvSpPr>
      <xdr:spPr>
        <a:xfrm>
          <a:off x="7926293" y="687294"/>
          <a:ext cx="1232647" cy="4034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Select</a:t>
          </a:r>
          <a:r>
            <a:rPr lang="en-IN" sz="1100" baseline="0">
              <a:solidFill>
                <a:schemeClr val="tx1"/>
              </a:solidFill>
            </a:rPr>
            <a:t> Days:</a:t>
          </a:r>
          <a:endParaRPr lang="en-IN" sz="1100">
            <a:solidFill>
              <a:schemeClr val="tx1"/>
            </a:solidFill>
          </a:endParaRPr>
        </a:p>
      </xdr:txBody>
    </xdr:sp>
    <xdr:clientData/>
  </xdr:twoCellAnchor>
  <xdr:twoCellAnchor editAs="oneCell">
    <xdr:from>
      <xdr:col>12</xdr:col>
      <xdr:colOff>590176</xdr:colOff>
      <xdr:row>5</xdr:row>
      <xdr:rowOff>14939</xdr:rowOff>
    </xdr:from>
    <xdr:to>
      <xdr:col>20</xdr:col>
      <xdr:colOff>448235</xdr:colOff>
      <xdr:row>15</xdr:row>
      <xdr:rowOff>7469</xdr:rowOff>
    </xdr:to>
    <mc:AlternateContent xmlns:mc="http://schemas.openxmlformats.org/markup-compatibility/2006" xmlns:a14="http://schemas.microsoft.com/office/drawing/2010/main">
      <mc:Choice Requires="a14">
        <xdr:graphicFrame macro="">
          <xdr:nvGraphicFramePr>
            <xdr:cNvPr id="41" name="Day 1">
              <a:extLst>
                <a:ext uri="{FF2B5EF4-FFF2-40B4-BE49-F238E27FC236}">
                  <a16:creationId xmlns:a16="http://schemas.microsoft.com/office/drawing/2014/main" id="{00000000-0008-0000-0300-000029000000}"/>
                </a:ext>
              </a:extLst>
            </xdr:cNvPr>
            <xdr:cNvGraphicFramePr/>
          </xdr:nvGraphicFramePr>
          <xdr:xfrm>
            <a:off x="0" y="0"/>
            <a:ext cx="0" cy="0"/>
          </xdr:xfrm>
          <a:graphic>
            <a:graphicData uri="http://schemas.microsoft.com/office/drawing/2010/slicer">
              <sle:slicer xmlns:sle="http://schemas.microsoft.com/office/drawing/2010/slicer" name="Day 1"/>
            </a:graphicData>
          </a:graphic>
        </xdr:graphicFrame>
      </mc:Choice>
      <mc:Fallback xmlns="">
        <xdr:sp macro="" textlink="">
          <xdr:nvSpPr>
            <xdr:cNvPr id="0" name=""/>
            <xdr:cNvSpPr>
              <a:spLocks noTextEdit="1"/>
            </xdr:cNvSpPr>
          </xdr:nvSpPr>
          <xdr:spPr>
            <a:xfrm>
              <a:off x="7883605" y="922082"/>
              <a:ext cx="4720344" cy="18068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40</xdr:row>
      <xdr:rowOff>11318</xdr:rowOff>
    </xdr:from>
    <xdr:to>
      <xdr:col>21</xdr:col>
      <xdr:colOff>6350</xdr:colOff>
      <xdr:row>52</xdr:row>
      <xdr:rowOff>32025</xdr:rowOff>
    </xdr:to>
    <xdr:sp macro="" textlink="">
      <xdr:nvSpPr>
        <xdr:cNvPr id="50" name="Rectangle 49">
          <a:extLst>
            <a:ext uri="{FF2B5EF4-FFF2-40B4-BE49-F238E27FC236}">
              <a16:creationId xmlns:a16="http://schemas.microsoft.com/office/drawing/2014/main" id="{00000000-0008-0000-0300-000032000000}"/>
            </a:ext>
          </a:extLst>
        </xdr:cNvPr>
        <xdr:cNvSpPr/>
      </xdr:nvSpPr>
      <xdr:spPr>
        <a:xfrm>
          <a:off x="0" y="7377318"/>
          <a:ext cx="12807950" cy="2230507"/>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44451</xdr:colOff>
      <xdr:row>40</xdr:row>
      <xdr:rowOff>11318</xdr:rowOff>
    </xdr:from>
    <xdr:to>
      <xdr:col>7</xdr:col>
      <xdr:colOff>527051</xdr:colOff>
      <xdr:row>52</xdr:row>
      <xdr:rowOff>50800</xdr:rowOff>
    </xdr:to>
    <xdr:graphicFrame macro="">
      <xdr:nvGraphicFramePr>
        <xdr:cNvPr id="51" name="Chart 50">
          <a:extLst>
            <a:ext uri="{FF2B5EF4-FFF2-40B4-BE49-F238E27FC236}">
              <a16:creationId xmlns:a16="http://schemas.microsoft.com/office/drawing/2014/main" id="{00000000-0008-0000-03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76200</xdr:colOff>
      <xdr:row>0</xdr:row>
      <xdr:rowOff>146050</xdr:rowOff>
    </xdr:from>
    <xdr:to>
      <xdr:col>0</xdr:col>
      <xdr:colOff>584200</xdr:colOff>
      <xdr:row>2</xdr:row>
      <xdr:rowOff>19050</xdr:rowOff>
    </xdr:to>
    <xdr:sp macro="" textlink="">
      <xdr:nvSpPr>
        <xdr:cNvPr id="2" name="Arrow: Left 1">
          <a:hlinkClick xmlns:r="http://schemas.openxmlformats.org/officeDocument/2006/relationships" r:id="rId15"/>
          <a:extLst>
            <a:ext uri="{FF2B5EF4-FFF2-40B4-BE49-F238E27FC236}">
              <a16:creationId xmlns:a16="http://schemas.microsoft.com/office/drawing/2014/main" id="{00000000-0008-0000-0300-000002000000}"/>
            </a:ext>
          </a:extLst>
        </xdr:cNvPr>
        <xdr:cNvSpPr/>
      </xdr:nvSpPr>
      <xdr:spPr>
        <a:xfrm>
          <a:off x="76200" y="146050"/>
          <a:ext cx="508000" cy="241300"/>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577850</xdr:colOff>
      <xdr:row>40</xdr:row>
      <xdr:rowOff>30368</xdr:rowOff>
    </xdr:from>
    <xdr:to>
      <xdr:col>20</xdr:col>
      <xdr:colOff>590550</xdr:colOff>
      <xdr:row>52</xdr:row>
      <xdr:rowOff>12700</xdr:rowOff>
    </xdr:to>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22</xdr:col>
      <xdr:colOff>82826</xdr:colOff>
      <xdr:row>25</xdr:row>
      <xdr:rowOff>31750</xdr:rowOff>
    </xdr:to>
    <xdr:pic>
      <xdr:nvPicPr>
        <xdr:cNvPr id="2" name="Picture 1" descr="Computer generated color animation. 3D rendering neon frame of blue and pink colors on a black background">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
          <a:ext cx="13494026" cy="46354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508000</xdr:colOff>
      <xdr:row>7</xdr:row>
      <xdr:rowOff>107950</xdr:rowOff>
    </xdr:from>
    <xdr:to>
      <xdr:col>12</xdr:col>
      <xdr:colOff>222250</xdr:colOff>
      <xdr:row>10</xdr:row>
      <xdr:rowOff>101600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0400-000003000000}"/>
            </a:ext>
          </a:extLst>
        </xdr:cNvPr>
        <xdr:cNvSpPr/>
      </xdr:nvSpPr>
      <xdr:spPr>
        <a:xfrm>
          <a:off x="3556000" y="1397000"/>
          <a:ext cx="3981450" cy="546100"/>
        </a:xfrm>
        <a:prstGeom prst="roundRect">
          <a:avLst>
            <a:gd name="adj" fmla="val 35272"/>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en-IN" sz="2400" b="1" i="1"/>
            <a:t>WELCOME</a:t>
          </a:r>
          <a:r>
            <a:rPr lang="en-IN" sz="2400"/>
            <a:t> </a:t>
          </a:r>
          <a:r>
            <a:rPr lang="en-IN" sz="2400" b="1" i="1" u="none" baseline="0">
              <a:solidFill>
                <a:schemeClr val="lt1"/>
              </a:solidFill>
              <a:effectLst/>
              <a:latin typeface="+mn-lt"/>
              <a:ea typeface="+mn-ea"/>
              <a:cs typeface="+mn-cs"/>
            </a:rPr>
            <a:t>DASHBOARD</a:t>
          </a:r>
          <a:endParaRPr lang="en-IN" sz="2400" u="none"/>
        </a:p>
      </xdr:txBody>
    </xdr:sp>
    <xdr:clientData/>
  </xdr:twoCellAnchor>
  <xdr:twoCellAnchor>
    <xdr:from>
      <xdr:col>16</xdr:col>
      <xdr:colOff>127000</xdr:colOff>
      <xdr:row>0</xdr:row>
      <xdr:rowOff>82550</xdr:rowOff>
    </xdr:from>
    <xdr:to>
      <xdr:col>18</xdr:col>
      <xdr:colOff>539750</xdr:colOff>
      <xdr:row>3</xdr:row>
      <xdr:rowOff>6350</xdr:rowOff>
    </xdr:to>
    <xdr:sp macro="" textlink="">
      <xdr:nvSpPr>
        <xdr:cNvPr id="30" name="Rectangle: Rounded Corners 29">
          <a:hlinkClick xmlns:r="http://schemas.openxmlformats.org/officeDocument/2006/relationships" r:id="rId3"/>
          <a:extLst>
            <a:ext uri="{FF2B5EF4-FFF2-40B4-BE49-F238E27FC236}">
              <a16:creationId xmlns:a16="http://schemas.microsoft.com/office/drawing/2014/main" id="{00000000-0008-0000-0400-00001E000000}"/>
            </a:ext>
          </a:extLst>
        </xdr:cNvPr>
        <xdr:cNvSpPr/>
      </xdr:nvSpPr>
      <xdr:spPr>
        <a:xfrm>
          <a:off x="9880600" y="82550"/>
          <a:ext cx="1631950" cy="476250"/>
        </a:xfrm>
        <a:prstGeom prst="roundRect">
          <a:avLst>
            <a:gd name="adj" fmla="val 29365"/>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349250</xdr:colOff>
      <xdr:row>0</xdr:row>
      <xdr:rowOff>114300</xdr:rowOff>
    </xdr:from>
    <xdr:to>
      <xdr:col>16</xdr:col>
      <xdr:colOff>349250</xdr:colOff>
      <xdr:row>2</xdr:row>
      <xdr:rowOff>63500</xdr:rowOff>
    </xdr:to>
    <xdr:sp macro="" textlink="">
      <xdr:nvSpPr>
        <xdr:cNvPr id="31" name="Rectangle 30">
          <a:extLst>
            <a:ext uri="{FF2B5EF4-FFF2-40B4-BE49-F238E27FC236}">
              <a16:creationId xmlns:a16="http://schemas.microsoft.com/office/drawing/2014/main" id="{00000000-0008-0000-0400-00001F000000}"/>
            </a:ext>
          </a:extLst>
        </xdr:cNvPr>
        <xdr:cNvSpPr/>
      </xdr:nvSpPr>
      <xdr:spPr>
        <a:xfrm>
          <a:off x="8883650" y="114300"/>
          <a:ext cx="1219200" cy="317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p>
      </xdr:txBody>
    </xdr:sp>
    <xdr:clientData/>
  </xdr:twoCellAnchor>
  <xdr:twoCellAnchor>
    <xdr:from>
      <xdr:col>16</xdr:col>
      <xdr:colOff>101600</xdr:colOff>
      <xdr:row>0</xdr:row>
      <xdr:rowOff>158750</xdr:rowOff>
    </xdr:from>
    <xdr:to>
      <xdr:col>18</xdr:col>
      <xdr:colOff>577850</xdr:colOff>
      <xdr:row>2</xdr:row>
      <xdr:rowOff>158750</xdr:rowOff>
    </xdr:to>
    <xdr:sp macro="" textlink="">
      <xdr:nvSpPr>
        <xdr:cNvPr id="32" name="Rectangle 31">
          <a:extLst>
            <a:ext uri="{FF2B5EF4-FFF2-40B4-BE49-F238E27FC236}">
              <a16:creationId xmlns:a16="http://schemas.microsoft.com/office/drawing/2014/main" id="{00000000-0008-0000-0400-000020000000}"/>
            </a:ext>
          </a:extLst>
        </xdr:cNvPr>
        <xdr:cNvSpPr/>
      </xdr:nvSpPr>
      <xdr:spPr>
        <a:xfrm>
          <a:off x="9855200" y="158750"/>
          <a:ext cx="1695450" cy="3683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i="1"/>
            <a:t>Registration</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228600</xdr:colOff>
      <xdr:row>3</xdr:row>
      <xdr:rowOff>177801</xdr:rowOff>
    </xdr:from>
    <xdr:to>
      <xdr:col>12</xdr:col>
      <xdr:colOff>228600</xdr:colOff>
      <xdr:row>14</xdr:row>
      <xdr:rowOff>25401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19950" y="730251"/>
              <a:ext cx="1828800" cy="1873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50800</xdr:colOff>
      <xdr:row>3</xdr:row>
      <xdr:rowOff>133350</xdr:rowOff>
    </xdr:from>
    <xdr:to>
      <xdr:col>16</xdr:col>
      <xdr:colOff>50800</xdr:colOff>
      <xdr:row>17</xdr:row>
      <xdr:rowOff>79375</xdr:rowOff>
    </xdr:to>
    <mc:AlternateContent xmlns:mc="http://schemas.openxmlformats.org/markup-compatibility/2006" xmlns:a14="http://schemas.microsoft.com/office/drawing/2010/main">
      <mc:Choice Requires="a14">
        <xdr:graphicFrame macro="">
          <xdr:nvGraphicFramePr>
            <xdr:cNvPr id="4" name="Item">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Item"/>
            </a:graphicData>
          </a:graphic>
        </xdr:graphicFrame>
      </mc:Choice>
      <mc:Fallback xmlns="">
        <xdr:sp macro="" textlink="">
          <xdr:nvSpPr>
            <xdr:cNvPr id="0" name=""/>
            <xdr:cNvSpPr>
              <a:spLocks noTextEdit="1"/>
            </xdr:cNvSpPr>
          </xdr:nvSpPr>
          <xdr:spPr>
            <a:xfrm>
              <a:off x="9480550" y="6858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463550</xdr:colOff>
      <xdr:row>0</xdr:row>
      <xdr:rowOff>165100</xdr:rowOff>
    </xdr:from>
    <xdr:to>
      <xdr:col>9</xdr:col>
      <xdr:colOff>139700</xdr:colOff>
      <xdr:row>6</xdr:row>
      <xdr:rowOff>177800</xdr:rowOff>
    </xdr:to>
    <mc:AlternateContent xmlns:mc="http://schemas.openxmlformats.org/markup-compatibility/2006" xmlns:tsle="http://schemas.microsoft.com/office/drawing/2012/timeslicer">
      <mc:Choice Requires="tsle">
        <xdr:graphicFrame macro="">
          <xdr:nvGraphicFramePr>
            <xdr:cNvPr id="8" name="Date">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797300" y="165100"/>
              <a:ext cx="3333750" cy="1117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xdr:col>
      <xdr:colOff>996950</xdr:colOff>
      <xdr:row>16</xdr:row>
      <xdr:rowOff>107950</xdr:rowOff>
    </xdr:from>
    <xdr:to>
      <xdr:col>10</xdr:col>
      <xdr:colOff>146050</xdr:colOff>
      <xdr:row>31</xdr:row>
      <xdr:rowOff>88900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190500</xdr:colOff>
      <xdr:row>27</xdr:row>
      <xdr:rowOff>146050</xdr:rowOff>
    </xdr:from>
    <xdr:to>
      <xdr:col>13</xdr:col>
      <xdr:colOff>431800</xdr:colOff>
      <xdr:row>42</xdr:row>
      <xdr:rowOff>127000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523875</xdr:colOff>
      <xdr:row>44</xdr:row>
      <xdr:rowOff>127000</xdr:rowOff>
    </xdr:from>
    <xdr:to>
      <xdr:col>12</xdr:col>
      <xdr:colOff>219075</xdr:colOff>
      <xdr:row>59</xdr:row>
      <xdr:rowOff>107950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488950</xdr:colOff>
      <xdr:row>57</xdr:row>
      <xdr:rowOff>127001</xdr:rowOff>
    </xdr:from>
    <xdr:to>
      <xdr:col>11</xdr:col>
      <xdr:colOff>120650</xdr:colOff>
      <xdr:row>69</xdr:row>
      <xdr:rowOff>31750</xdr:rowOff>
    </xdr:to>
    <mc:AlternateContent xmlns:mc="http://schemas.openxmlformats.org/markup-compatibility/2006" xmlns:a14="http://schemas.microsoft.com/office/drawing/2010/main">
      <mc:Choice Requires="a14">
        <xdr:graphicFrame macro="">
          <xdr:nvGraphicFramePr>
            <xdr:cNvPr id="13" name="Day">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3276600" y="10623551"/>
              <a:ext cx="3898900" cy="21145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241300</xdr:colOff>
      <xdr:row>56</xdr:row>
      <xdr:rowOff>177800</xdr:rowOff>
    </xdr:from>
    <xdr:to>
      <xdr:col>14</xdr:col>
      <xdr:colOff>241300</xdr:colOff>
      <xdr:row>70</xdr:row>
      <xdr:rowOff>123825</xdr:rowOff>
    </xdr:to>
    <mc:AlternateContent xmlns:mc="http://schemas.openxmlformats.org/markup-compatibility/2006" xmlns:a14="http://schemas.microsoft.com/office/drawing/2010/main">
      <mc:Choice Requires="a14">
        <xdr:graphicFrame macro="">
          <xdr:nvGraphicFramePr>
            <xdr:cNvPr id="14" name="Month">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296150" y="104902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349250</xdr:colOff>
      <xdr:row>67</xdr:row>
      <xdr:rowOff>127000</xdr:rowOff>
    </xdr:from>
    <xdr:to>
      <xdr:col>10</xdr:col>
      <xdr:colOff>44450</xdr:colOff>
      <xdr:row>82</xdr:row>
      <xdr:rowOff>107950</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130175</xdr:colOff>
      <xdr:row>80</xdr:row>
      <xdr:rowOff>12700</xdr:rowOff>
    </xdr:from>
    <xdr:to>
      <xdr:col>12</xdr:col>
      <xdr:colOff>434975</xdr:colOff>
      <xdr:row>94</xdr:row>
      <xdr:rowOff>177800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47625</xdr:colOff>
      <xdr:row>92</xdr:row>
      <xdr:rowOff>133350</xdr:rowOff>
    </xdr:from>
    <xdr:to>
      <xdr:col>14</xdr:col>
      <xdr:colOff>352425</xdr:colOff>
      <xdr:row>107</xdr:row>
      <xdr:rowOff>114300</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349250</xdr:colOff>
      <xdr:row>103</xdr:row>
      <xdr:rowOff>127000</xdr:rowOff>
    </xdr:from>
    <xdr:to>
      <xdr:col>10</xdr:col>
      <xdr:colOff>44450</xdr:colOff>
      <xdr:row>118</xdr:row>
      <xdr:rowOff>107950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349250</xdr:colOff>
      <xdr:row>118</xdr:row>
      <xdr:rowOff>127000</xdr:rowOff>
    </xdr:from>
    <xdr:to>
      <xdr:col>10</xdr:col>
      <xdr:colOff>44450</xdr:colOff>
      <xdr:row>133</xdr:row>
      <xdr:rowOff>107950</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123825</xdr:colOff>
      <xdr:row>129</xdr:row>
      <xdr:rowOff>19050</xdr:rowOff>
    </xdr:from>
    <xdr:to>
      <xdr:col>11</xdr:col>
      <xdr:colOff>428625</xdr:colOff>
      <xdr:row>144</xdr:row>
      <xdr:rowOff>0</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349250</xdr:colOff>
      <xdr:row>136</xdr:row>
      <xdr:rowOff>50800</xdr:rowOff>
    </xdr:from>
    <xdr:to>
      <xdr:col>10</xdr:col>
      <xdr:colOff>44450</xdr:colOff>
      <xdr:row>151</xdr:row>
      <xdr:rowOff>31750</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304800</xdr:colOff>
      <xdr:row>168</xdr:row>
      <xdr:rowOff>44450</xdr:rowOff>
    </xdr:from>
    <xdr:to>
      <xdr:col>15</xdr:col>
      <xdr:colOff>539750</xdr:colOff>
      <xdr:row>185</xdr:row>
      <xdr:rowOff>19050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19</xdr:row>
          <xdr:rowOff>12700</xdr:rowOff>
        </xdr:from>
        <xdr:to>
          <xdr:col>5</xdr:col>
          <xdr:colOff>939800</xdr:colOff>
          <xdr:row>20</xdr:row>
          <xdr:rowOff>76200</xdr:rowOff>
        </xdr:to>
        <xdr:sp macro="" textlink="">
          <xdr:nvSpPr>
            <xdr:cNvPr id="11265" name="Option 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863600</xdr:colOff>
          <xdr:row>19</xdr:row>
          <xdr:rowOff>25400</xdr:rowOff>
        </xdr:from>
        <xdr:to>
          <xdr:col>6</xdr:col>
          <xdr:colOff>107950</xdr:colOff>
          <xdr:row>20</xdr:row>
          <xdr:rowOff>50800</xdr:rowOff>
        </xdr:to>
        <xdr:sp macro="" textlink="">
          <xdr:nvSpPr>
            <xdr:cNvPr id="11266" name="Option Button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FEMALE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25</xdr:row>
          <xdr:rowOff>158750</xdr:rowOff>
        </xdr:from>
        <xdr:to>
          <xdr:col>5</xdr:col>
          <xdr:colOff>869950</xdr:colOff>
          <xdr:row>26</xdr:row>
          <xdr:rowOff>158750</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6350</xdr:colOff>
      <xdr:row>0</xdr:row>
      <xdr:rowOff>2418</xdr:rowOff>
    </xdr:from>
    <xdr:to>
      <xdr:col>19</xdr:col>
      <xdr:colOff>336550</xdr:colOff>
      <xdr:row>4</xdr:row>
      <xdr:rowOff>78014</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6350" y="2418"/>
          <a:ext cx="11614150" cy="812196"/>
        </a:xfrm>
        <a:prstGeom prst="roundRect">
          <a:avLst>
            <a:gd name="adj" fmla="val 43949"/>
          </a:avLst>
        </a:prstGeom>
        <a:solidFill>
          <a:schemeClr val="bg1">
            <a:lumMod val="75000"/>
          </a:schemeClr>
        </a:solidFill>
      </xdr:spPr>
      <xdr:style>
        <a:lnRef idx="3">
          <a:schemeClr val="lt1"/>
        </a:lnRef>
        <a:fillRef idx="1">
          <a:schemeClr val="accent5"/>
        </a:fillRef>
        <a:effectRef idx="1">
          <a:schemeClr val="accent5"/>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627440</xdr:colOff>
      <xdr:row>0</xdr:row>
      <xdr:rowOff>166309</xdr:rowOff>
    </xdr:from>
    <xdr:to>
      <xdr:col>9</xdr:col>
      <xdr:colOff>589643</xdr:colOff>
      <xdr:row>4</xdr:row>
      <xdr:rowOff>98273</xdr:rowOff>
    </xdr:to>
    <xdr:sp macro="" textlink="">
      <xdr:nvSpPr>
        <xdr:cNvPr id="6" name="Rectangle 5">
          <a:extLst>
            <a:ext uri="{FF2B5EF4-FFF2-40B4-BE49-F238E27FC236}">
              <a16:creationId xmlns:a16="http://schemas.microsoft.com/office/drawing/2014/main" id="{00000000-0008-0000-0700-000006000000}"/>
            </a:ext>
          </a:extLst>
        </xdr:cNvPr>
        <xdr:cNvSpPr/>
      </xdr:nvSpPr>
      <xdr:spPr>
        <a:xfrm>
          <a:off x="2881690" y="166309"/>
          <a:ext cx="2895903" cy="66856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i="1" u="sng">
              <a:solidFill>
                <a:srgbClr val="FF0000"/>
              </a:solidFill>
            </a:rPr>
            <a:t>Registration</a:t>
          </a:r>
        </a:p>
      </xdr:txBody>
    </xdr:sp>
    <xdr:clientData/>
  </xdr:twoCellAnchor>
  <xdr:twoCellAnchor>
    <xdr:from>
      <xdr:col>1</xdr:col>
      <xdr:colOff>5773</xdr:colOff>
      <xdr:row>5</xdr:row>
      <xdr:rowOff>57728</xdr:rowOff>
    </xdr:from>
    <xdr:to>
      <xdr:col>11</xdr:col>
      <xdr:colOff>0</xdr:colOff>
      <xdr:row>8</xdr:row>
      <xdr:rowOff>11545</xdr:rowOff>
    </xdr:to>
    <xdr:sp macro="" textlink="">
      <xdr:nvSpPr>
        <xdr:cNvPr id="7" name="Rectangle 6">
          <a:extLst>
            <a:ext uri="{FF2B5EF4-FFF2-40B4-BE49-F238E27FC236}">
              <a16:creationId xmlns:a16="http://schemas.microsoft.com/office/drawing/2014/main" id="{00000000-0008-0000-0700-000007000000}"/>
            </a:ext>
          </a:extLst>
        </xdr:cNvPr>
        <xdr:cNvSpPr/>
      </xdr:nvSpPr>
      <xdr:spPr>
        <a:xfrm>
          <a:off x="617682" y="981364"/>
          <a:ext cx="5801591" cy="507999"/>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611909</xdr:colOff>
      <xdr:row>5</xdr:row>
      <xdr:rowOff>92365</xdr:rowOff>
    </xdr:from>
    <xdr:to>
      <xdr:col>6</xdr:col>
      <xdr:colOff>161637</xdr:colOff>
      <xdr:row>7</xdr:row>
      <xdr:rowOff>127000</xdr:rowOff>
    </xdr:to>
    <xdr:sp macro="" textlink="">
      <xdr:nvSpPr>
        <xdr:cNvPr id="8" name="Rectangle 7">
          <a:extLst>
            <a:ext uri="{FF2B5EF4-FFF2-40B4-BE49-F238E27FC236}">
              <a16:creationId xmlns:a16="http://schemas.microsoft.com/office/drawing/2014/main" id="{00000000-0008-0000-0700-000008000000}"/>
            </a:ext>
          </a:extLst>
        </xdr:cNvPr>
        <xdr:cNvSpPr/>
      </xdr:nvSpPr>
      <xdr:spPr>
        <a:xfrm>
          <a:off x="2866159" y="1013115"/>
          <a:ext cx="1486478" cy="402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1">
              <a:solidFill>
                <a:schemeClr val="tx1">
                  <a:lumMod val="95000"/>
                  <a:lumOff val="5000"/>
                </a:schemeClr>
              </a:solidFill>
            </a:rPr>
            <a:t>FROM</a:t>
          </a:r>
        </a:p>
      </xdr:txBody>
    </xdr:sp>
    <xdr:clientData/>
  </xdr:twoCellAnchor>
  <mc:AlternateContent xmlns:mc="http://schemas.openxmlformats.org/markup-compatibility/2006">
    <mc:Choice xmlns:a14="http://schemas.microsoft.com/office/drawing/2010/main" Requires="a14">
      <xdr:twoCellAnchor editAs="oneCell">
        <xdr:from>
          <xdr:col>2</xdr:col>
          <xdr:colOff>334819</xdr:colOff>
          <xdr:row>33</xdr:row>
          <xdr:rowOff>161637</xdr:rowOff>
        </xdr:from>
        <xdr:to>
          <xdr:col>5</xdr:col>
          <xdr:colOff>307604</xdr:colOff>
          <xdr:row>37</xdr:row>
          <xdr:rowOff>16493</xdr:rowOff>
        </xdr:to>
        <xdr:pic macro="[0]!_xludf.CLEAR">
          <xdr:nvPicPr>
            <xdr:cNvPr id="9" name="Picture 8">
              <a:extLst>
                <a:ext uri="{FF2B5EF4-FFF2-40B4-BE49-F238E27FC236}">
                  <a16:creationId xmlns:a16="http://schemas.microsoft.com/office/drawing/2014/main" id="{00000000-0008-0000-0700-000009000000}"/>
                </a:ext>
              </a:extLst>
            </xdr:cNvPr>
            <xdr:cNvPicPr>
              <a:picLocks noChangeAspect="1" noChangeArrowheads="1"/>
              <a:extLst>
                <a:ext uri="{84589F7E-364E-4C9E-8A38-B11213B215E9}">
                  <a14:cameraTool cellRange="$C$49" spid="_x0000_s11325"/>
                </a:ext>
              </a:extLst>
            </xdr:cNvPicPr>
          </xdr:nvPicPr>
          <xdr:blipFill>
            <a:blip xmlns:r="http://schemas.openxmlformats.org/officeDocument/2006/relationships" r:embed="rId1"/>
            <a:srcRect/>
            <a:stretch>
              <a:fillRect/>
            </a:stretch>
          </xdr:blipFill>
          <xdr:spPr bwMode="auto">
            <a:xfrm>
              <a:off x="1287319" y="6774708"/>
              <a:ext cx="1279071" cy="58057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1111250</xdr:colOff>
          <xdr:row>33</xdr:row>
          <xdr:rowOff>101600</xdr:rowOff>
        </xdr:from>
        <xdr:to>
          <xdr:col>8</xdr:col>
          <xdr:colOff>61384</xdr:colOff>
          <xdr:row>36</xdr:row>
          <xdr:rowOff>127000</xdr:rowOff>
        </xdr:to>
        <xdr:pic macro="[0]!sumbit">
          <xdr:nvPicPr>
            <xdr:cNvPr id="11" name="Picture 10">
              <a:extLst>
                <a:ext uri="{FF2B5EF4-FFF2-40B4-BE49-F238E27FC236}">
                  <a16:creationId xmlns:a16="http://schemas.microsoft.com/office/drawing/2014/main" id="{00000000-0008-0000-0700-00000B000000}"/>
                </a:ext>
              </a:extLst>
            </xdr:cNvPr>
            <xdr:cNvPicPr>
              <a:picLocks noChangeAspect="1" noChangeArrowheads="1"/>
              <a:extLst>
                <a:ext uri="{84589F7E-364E-4C9E-8A38-B11213B215E9}">
                  <a14:cameraTool cellRange="$C$51" spid="_x0000_s11326"/>
                </a:ext>
              </a:extLst>
            </xdr:cNvPicPr>
          </xdr:nvPicPr>
          <xdr:blipFill>
            <a:blip xmlns:r="http://schemas.openxmlformats.org/officeDocument/2006/relationships" r:embed="rId2"/>
            <a:srcRect/>
            <a:stretch>
              <a:fillRect/>
            </a:stretch>
          </xdr:blipFill>
          <xdr:spPr bwMode="auto">
            <a:xfrm>
              <a:off x="3371850" y="6874933"/>
              <a:ext cx="1278467" cy="5842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120650</xdr:colOff>
      <xdr:row>1</xdr:row>
      <xdr:rowOff>53218</xdr:rowOff>
    </xdr:from>
    <xdr:to>
      <xdr:col>1</xdr:col>
      <xdr:colOff>19050</xdr:colOff>
      <xdr:row>2</xdr:row>
      <xdr:rowOff>114785</xdr:rowOff>
    </xdr:to>
    <xdr:sp macro="" textlink="">
      <xdr:nvSpPr>
        <xdr:cNvPr id="12" name="Arrow: Left 11">
          <a:hlinkClick xmlns:r="http://schemas.openxmlformats.org/officeDocument/2006/relationships" r:id="rId3"/>
          <a:extLst>
            <a:ext uri="{FF2B5EF4-FFF2-40B4-BE49-F238E27FC236}">
              <a16:creationId xmlns:a16="http://schemas.microsoft.com/office/drawing/2014/main" id="{00000000-0008-0000-0700-00000C000000}"/>
            </a:ext>
          </a:extLst>
        </xdr:cNvPr>
        <xdr:cNvSpPr/>
      </xdr:nvSpPr>
      <xdr:spPr>
        <a:xfrm>
          <a:off x="120650" y="237368"/>
          <a:ext cx="508000" cy="245717"/>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850.884142129631" createdVersion="7" refreshedVersion="7" minRefreshableVersion="3" recordCount="366" xr:uid="{1EC7F36E-57EE-4C59-A286-CE811D5F2EB0}">
  <cacheSource type="worksheet">
    <worksheetSource ref="A1:N367" sheet="Sheet2"/>
  </cacheSource>
  <cacheFields count="17">
    <cacheField name="S No" numFmtId="0">
      <sharedItems containsSemiMixedTypes="0" containsString="0" containsNumber="1" containsInteger="1" minValue="1" maxValue="366"/>
    </cacheField>
    <cacheField name="Order id" numFmtId="0">
      <sharedItems count="366">
        <s v="A001"/>
        <s v="A002"/>
        <s v="A003"/>
        <s v="A004"/>
        <s v="A005"/>
        <s v="A006"/>
        <s v="A007"/>
        <s v="A008"/>
        <s v="A009"/>
        <s v="A010"/>
        <s v="A011"/>
        <s v="A012"/>
        <s v="A013"/>
        <s v="A014"/>
        <s v="A015"/>
        <s v="A016"/>
        <s v="A017"/>
        <s v="A018"/>
        <s v="A019"/>
        <s v="A020"/>
        <s v="A021"/>
        <s v="A022"/>
        <s v="A023"/>
        <s v="A024"/>
        <s v="A025"/>
        <s v="A026"/>
        <s v="A027"/>
        <s v="A028"/>
        <s v="A029"/>
        <s v="A030"/>
        <s v="A031"/>
        <s v="A032"/>
        <s v="A033"/>
        <s v="A034"/>
        <s v="A035"/>
        <s v="A036"/>
        <s v="A037"/>
        <s v="A038"/>
        <s v="A039"/>
        <s v="A040"/>
        <s v="A041"/>
        <s v="A042"/>
        <s v="A043"/>
        <s v="A044"/>
        <s v="A045"/>
        <s v="A046"/>
        <s v="A047"/>
        <s v="A048"/>
        <s v="A049"/>
        <s v="A050"/>
        <s v="A051"/>
        <s v="A052"/>
        <s v="A053"/>
        <s v="A054"/>
        <s v="A055"/>
        <s v="A056"/>
        <s v="A057"/>
        <s v="A058"/>
        <s v="A059"/>
        <s v="A060"/>
        <s v="A061"/>
        <s v="A062"/>
        <s v="A063"/>
        <s v="A064"/>
        <s v="A065"/>
        <s v="A066"/>
        <s v="A067"/>
        <s v="A068"/>
        <s v="A069"/>
        <s v="A070"/>
        <s v="A071"/>
        <s v="A072"/>
        <s v="A073"/>
        <s v="A074"/>
        <s v="A075"/>
        <s v="A076"/>
        <s v="A077"/>
        <s v="A078"/>
        <s v="A079"/>
        <s v="A080"/>
        <s v="A081"/>
        <s v="A082"/>
        <s v="A083"/>
        <s v="A084"/>
        <s v="A085"/>
        <s v="A086"/>
        <s v="A087"/>
        <s v="A088"/>
        <s v="A089"/>
        <s v="A090"/>
        <s v="A091"/>
        <s v="A092"/>
        <s v="A093"/>
        <s v="A094"/>
        <s v="A095"/>
        <s v="A096"/>
        <s v="A097"/>
        <s v="A098"/>
        <s v="A099"/>
        <s v="A100"/>
        <s v="A101"/>
        <s v="A102"/>
        <s v="A103"/>
        <s v="A104"/>
        <s v="A105"/>
        <s v="A106"/>
        <s v="A107"/>
        <s v="A108"/>
        <s v="A109"/>
        <s v="A110"/>
        <s v="A111"/>
        <s v="A112"/>
        <s v="A113"/>
        <s v="A114"/>
        <s v="A115"/>
        <s v="A116"/>
        <s v="A117"/>
        <s v="A118"/>
        <s v="A119"/>
        <s v="A120"/>
        <s v="A121"/>
        <s v="A122"/>
        <s v="A123"/>
        <s v="A124"/>
        <s v="A125"/>
        <s v="A126"/>
        <s v="A127"/>
        <s v="A128"/>
        <s v="A129"/>
        <s v="A130"/>
        <s v="A131"/>
        <s v="A132"/>
        <s v="A133"/>
        <s v="A134"/>
        <s v="A135"/>
        <s v="A136"/>
        <s v="A137"/>
        <s v="A138"/>
        <s v="A139"/>
        <s v="A140"/>
        <s v="A141"/>
        <s v="A142"/>
        <s v="A143"/>
        <s v="A144"/>
        <s v="A145"/>
        <s v="A146"/>
        <s v="A147"/>
        <s v="A148"/>
        <s v="A149"/>
        <s v="A150"/>
        <s v="A151"/>
        <s v="A152"/>
        <s v="A153"/>
        <s v="A154"/>
        <s v="A155"/>
        <s v="A156"/>
        <s v="A157"/>
        <s v="A158"/>
        <s v="A159"/>
        <s v="A160"/>
        <s v="A161"/>
        <s v="A162"/>
        <s v="A163"/>
        <s v="A164"/>
        <s v="A165"/>
        <s v="A166"/>
        <s v="A167"/>
        <s v="A168"/>
        <s v="A169"/>
        <s v="A170"/>
        <s v="A171"/>
        <s v="A172"/>
        <s v="A173"/>
        <s v="A174"/>
        <s v="A175"/>
        <s v="A176"/>
        <s v="A177"/>
        <s v="A178"/>
        <s v="A179"/>
        <s v="A180"/>
        <s v="A181"/>
        <s v="A182"/>
        <s v="A183"/>
        <s v="A184"/>
        <s v="A185"/>
        <s v="A186"/>
        <s v="A187"/>
        <s v="A188"/>
        <s v="A189"/>
        <s v="A190"/>
        <s v="A191"/>
        <s v="A192"/>
        <s v="A193"/>
        <s v="A194"/>
        <s v="A195"/>
        <s v="A196"/>
        <s v="A197"/>
        <s v="A198"/>
        <s v="A199"/>
        <s v="A200"/>
        <s v="A201"/>
        <s v="A202"/>
        <s v="A203"/>
        <s v="A204"/>
        <s v="A205"/>
        <s v="A206"/>
        <s v="A207"/>
        <s v="A208"/>
        <s v="A209"/>
        <s v="A210"/>
        <s v="A211"/>
        <s v="A212"/>
        <s v="A213"/>
        <s v="A214"/>
        <s v="A215"/>
        <s v="A216"/>
        <s v="A217"/>
        <s v="A218"/>
        <s v="A219"/>
        <s v="A220"/>
        <s v="A221"/>
        <s v="A222"/>
        <s v="A223"/>
        <s v="A224"/>
        <s v="A225"/>
        <s v="A226"/>
        <s v="A227"/>
        <s v="A228"/>
        <s v="A229"/>
        <s v="A230"/>
        <s v="A231"/>
        <s v="A232"/>
        <s v="A233"/>
        <s v="A234"/>
        <s v="A235"/>
        <s v="A236"/>
        <s v="A237"/>
        <s v="A238"/>
        <s v="A239"/>
        <s v="A240"/>
        <s v="A241"/>
        <s v="A242"/>
        <s v="A243"/>
        <s v="A244"/>
        <s v="A245"/>
        <s v="A246"/>
        <s v="A247"/>
        <s v="A248"/>
        <s v="A249"/>
        <s v="A250"/>
        <s v="A251"/>
        <s v="A252"/>
        <s v="A253"/>
        <s v="A254"/>
        <s v="A255"/>
        <s v="A256"/>
        <s v="A257"/>
        <s v="A258"/>
        <s v="A259"/>
        <s v="A260"/>
        <s v="A261"/>
        <s v="A262"/>
        <s v="A263"/>
        <s v="A264"/>
        <s v="A265"/>
        <s v="A266"/>
        <s v="A267"/>
        <s v="A268"/>
        <s v="A269"/>
        <s v="A270"/>
        <s v="A271"/>
        <s v="A272"/>
        <s v="A273"/>
        <s v="A274"/>
        <s v="A275"/>
        <s v="A276"/>
        <s v="A277"/>
        <s v="A278"/>
        <s v="A279"/>
        <s v="A280"/>
        <s v="A281"/>
        <s v="A282"/>
        <s v="A283"/>
        <s v="A284"/>
        <s v="A285"/>
        <s v="A286"/>
        <s v="A287"/>
        <s v="A288"/>
        <s v="A289"/>
        <s v="A290"/>
        <s v="A291"/>
        <s v="A292"/>
        <s v="A293"/>
        <s v="A294"/>
        <s v="A295"/>
        <s v="A296"/>
        <s v="A297"/>
        <s v="A298"/>
        <s v="A299"/>
        <s v="A300"/>
        <s v="A301"/>
        <s v="A302"/>
        <s v="A303"/>
        <s v="A304"/>
        <s v="A305"/>
        <s v="A306"/>
        <s v="A307"/>
        <s v="A308"/>
        <s v="A309"/>
        <s v="A310"/>
        <s v="A311"/>
        <s v="A312"/>
        <s v="A313"/>
        <s v="A314"/>
        <s v="A315"/>
        <s v="A316"/>
        <s v="A317"/>
        <s v="A318"/>
        <s v="A319"/>
        <s v="A320"/>
        <s v="A321"/>
        <s v="A322"/>
        <s v="A323"/>
        <s v="A324"/>
        <s v="A325"/>
        <s v="A326"/>
        <s v="A327"/>
        <s v="A328"/>
        <s v="A329"/>
        <s v="A330"/>
        <s v="A331"/>
        <s v="A332"/>
        <s v="A333"/>
        <s v="A334"/>
        <s v="A335"/>
        <s v="A336"/>
        <s v="A337"/>
        <s v="A338"/>
        <s v="A339"/>
        <s v="A340"/>
        <s v="A341"/>
        <s v="A342"/>
        <s v="A343"/>
        <s v="A344"/>
        <s v="A345"/>
        <s v="A346"/>
        <s v="A347"/>
        <s v="A348"/>
        <s v="A349"/>
        <s v="A350"/>
        <s v="A351"/>
        <s v="A352"/>
        <s v="A353"/>
        <s v="A354"/>
        <s v="A355"/>
        <s v="A356"/>
        <s v="A357"/>
        <s v="A358"/>
        <s v="A359"/>
        <s v="A360"/>
        <s v="A361"/>
        <s v="A362"/>
        <s v="A363"/>
        <s v="A364"/>
        <s v="A365"/>
        <s v="A366"/>
      </sharedItems>
    </cacheField>
    <cacheField name="Date" numFmtId="14">
      <sharedItems containsSemiMixedTypes="0" containsNonDate="0" containsDate="1" containsString="0" minDate="2021-01-01T00:00:00" maxDate="2022-01-02T00:00:00" count="366">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2-01-01T00:00:00"/>
      </sharedItems>
      <fieldGroup par="16" base="2">
        <rangePr groupBy="months" startDate="2021-01-01T00:00:00" endDate="2022-01-02T00:00:00"/>
        <groupItems count="14">
          <s v="&lt;01-01-2021"/>
          <s v="Jan"/>
          <s v="Feb"/>
          <s v="Mar"/>
          <s v="Apr"/>
          <s v="May"/>
          <s v="Jun"/>
          <s v="Jul"/>
          <s v="Aug"/>
          <s v="Sep"/>
          <s v="Oct"/>
          <s v="Nov"/>
          <s v="Dec"/>
          <s v="&gt;02-01-2022"/>
        </groupItems>
      </fieldGroup>
    </cacheField>
    <cacheField name="Day" numFmtId="14">
      <sharedItems count="31">
        <s v="01"/>
        <s v="02"/>
        <s v="03"/>
        <s v="04"/>
        <s v="05"/>
        <s v="06"/>
        <s v="07"/>
        <s v="08"/>
        <s v="09"/>
        <s v="10"/>
        <s v="11"/>
        <s v="12"/>
        <s v="13"/>
        <s v="14"/>
        <s v="15"/>
        <s v="16"/>
        <s v="17"/>
        <s v="18"/>
        <s v="19"/>
        <s v="20"/>
        <s v="21"/>
        <s v="22"/>
        <s v="23"/>
        <s v="24"/>
        <s v="25"/>
        <s v="26"/>
        <s v="27"/>
        <s v="28"/>
        <s v="29"/>
        <s v="30"/>
        <s v="31"/>
      </sharedItems>
    </cacheField>
    <cacheField name="Month" numFmtId="14">
      <sharedItems count="12">
        <s v="Jan"/>
        <s v="Feb"/>
        <s v="Mar"/>
        <s v="Apr"/>
        <s v="May"/>
        <s v="Jun"/>
        <s v="Jul"/>
        <s v="Aug"/>
        <s v="Sep"/>
        <s v="Oct"/>
        <s v="Nov"/>
        <s v="Dec"/>
      </sharedItems>
    </cacheField>
    <cacheField name="Salesman" numFmtId="0">
      <sharedItems count="6">
        <s v="Ajit Kumar"/>
        <s v="Rohit Das"/>
        <s v="Ramesh"/>
        <s v="Amit"/>
        <s v="Chandu"/>
        <s v="Siddhu"/>
      </sharedItems>
    </cacheField>
    <cacheField name="Seller" numFmtId="0">
      <sharedItems count="4">
        <s v="ABC Traders"/>
        <s v="Super Tech"/>
        <s v="RG Store"/>
        <s v="CCC Mart"/>
      </sharedItems>
    </cacheField>
    <cacheField name="Region" numFmtId="0">
      <sharedItems count="4">
        <s v="East"/>
        <s v="West"/>
        <s v="North"/>
        <s v="South"/>
      </sharedItems>
    </cacheField>
    <cacheField name="Item" numFmtId="0">
      <sharedItems count="6">
        <s v="Mouse"/>
        <s v="Printer"/>
        <s v="Monitor"/>
        <s v="Scanner"/>
        <s v="Speaker"/>
        <s v="Keyboard"/>
      </sharedItems>
    </cacheField>
    <cacheField name="Qty" numFmtId="164">
      <sharedItems containsSemiMixedTypes="0" containsString="0" containsNumber="1" containsInteger="1" minValue="2" maxValue="7"/>
    </cacheField>
    <cacheField name="Price" numFmtId="164">
      <sharedItems containsSemiMixedTypes="0" containsString="0" containsNumber="1" containsInteger="1" minValue="190" maxValue="2100"/>
    </cacheField>
    <cacheField name="Amount" numFmtId="164">
      <sharedItems containsSemiMixedTypes="0" containsString="0" containsNumber="1" containsInteger="1" minValue="380" maxValue="14700" count="14">
        <n v="1470"/>
        <n v="12600"/>
        <n v="6000"/>
        <n v="900"/>
        <n v="380"/>
        <n v="420"/>
        <n v="14700"/>
        <n v="7200"/>
        <n v="7500"/>
        <n v="1200"/>
        <n v="570"/>
        <n v="1500"/>
        <n v="800"/>
        <n v="4200"/>
      </sharedItems>
    </cacheField>
    <cacheField name="Payment Mode" numFmtId="0">
      <sharedItems count="2">
        <s v="Online"/>
        <s v="Cash"/>
      </sharedItems>
    </cacheField>
    <cacheField name="Last 28 Days" numFmtId="0">
      <sharedItems/>
    </cacheField>
    <cacheField name="Previous 28 Days" numFmtId="0">
      <sharedItems/>
    </cacheField>
    <cacheField name="Quarters" numFmtId="0" databaseField="0">
      <fieldGroup base="2">
        <rangePr groupBy="quarters" startDate="2021-01-01T00:00:00" endDate="2022-01-02T00:00:00"/>
        <groupItems count="6">
          <s v="&lt;01-01-2021"/>
          <s v="Qtr1"/>
          <s v="Qtr2"/>
          <s v="Qtr3"/>
          <s v="Qtr4"/>
          <s v="&gt;02-01-2022"/>
        </groupItems>
      </fieldGroup>
    </cacheField>
    <cacheField name="Years" numFmtId="0" databaseField="0">
      <fieldGroup base="2">
        <rangePr groupBy="years" startDate="2021-01-01T00:00:00" endDate="2022-01-02T00:00:00"/>
        <groupItems count="4">
          <s v="&lt;01-01-2021"/>
          <s v="2021"/>
          <s v="2022"/>
          <s v="&gt;02-01-2022"/>
        </groupItems>
      </fieldGroup>
    </cacheField>
  </cacheFields>
  <extLst>
    <ext xmlns:x14="http://schemas.microsoft.com/office/spreadsheetml/2009/9/main" uri="{725AE2AE-9491-48be-B2B4-4EB974FC3084}">
      <x14:pivotCacheDefinition pivotCacheId="1825697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6">
  <r>
    <n v="1"/>
    <x v="0"/>
    <x v="0"/>
    <x v="0"/>
    <x v="0"/>
    <x v="0"/>
    <x v="0"/>
    <x v="0"/>
    <x v="0"/>
    <n v="7"/>
    <n v="210"/>
    <x v="0"/>
    <x v="0"/>
    <b v="0"/>
    <b v="0"/>
  </r>
  <r>
    <n v="2"/>
    <x v="1"/>
    <x v="1"/>
    <x v="1"/>
    <x v="0"/>
    <x v="1"/>
    <x v="1"/>
    <x v="1"/>
    <x v="1"/>
    <n v="6"/>
    <n v="2100"/>
    <x v="1"/>
    <x v="1"/>
    <b v="0"/>
    <b v="0"/>
  </r>
  <r>
    <n v="3"/>
    <x v="2"/>
    <x v="2"/>
    <x v="2"/>
    <x v="0"/>
    <x v="2"/>
    <x v="2"/>
    <x v="0"/>
    <x v="2"/>
    <n v="5"/>
    <n v="1200"/>
    <x v="2"/>
    <x v="0"/>
    <b v="0"/>
    <b v="0"/>
  </r>
  <r>
    <n v="4"/>
    <x v="3"/>
    <x v="3"/>
    <x v="3"/>
    <x v="0"/>
    <x v="3"/>
    <x v="3"/>
    <x v="1"/>
    <x v="3"/>
    <n v="4"/>
    <n v="1500"/>
    <x v="2"/>
    <x v="1"/>
    <b v="0"/>
    <b v="0"/>
  </r>
  <r>
    <n v="5"/>
    <x v="4"/>
    <x v="4"/>
    <x v="4"/>
    <x v="0"/>
    <x v="4"/>
    <x v="0"/>
    <x v="0"/>
    <x v="4"/>
    <n v="3"/>
    <n v="300"/>
    <x v="3"/>
    <x v="0"/>
    <b v="0"/>
    <b v="0"/>
  </r>
  <r>
    <n v="6"/>
    <x v="5"/>
    <x v="5"/>
    <x v="5"/>
    <x v="0"/>
    <x v="5"/>
    <x v="1"/>
    <x v="0"/>
    <x v="5"/>
    <n v="2"/>
    <n v="190"/>
    <x v="4"/>
    <x v="1"/>
    <b v="0"/>
    <b v="0"/>
  </r>
  <r>
    <n v="7"/>
    <x v="6"/>
    <x v="6"/>
    <x v="6"/>
    <x v="0"/>
    <x v="0"/>
    <x v="2"/>
    <x v="0"/>
    <x v="0"/>
    <n v="7"/>
    <n v="210"/>
    <x v="0"/>
    <x v="0"/>
    <b v="0"/>
    <b v="0"/>
  </r>
  <r>
    <n v="8"/>
    <x v="7"/>
    <x v="7"/>
    <x v="7"/>
    <x v="0"/>
    <x v="1"/>
    <x v="3"/>
    <x v="1"/>
    <x v="1"/>
    <n v="6"/>
    <n v="2100"/>
    <x v="1"/>
    <x v="1"/>
    <b v="0"/>
    <b v="0"/>
  </r>
  <r>
    <n v="9"/>
    <x v="8"/>
    <x v="8"/>
    <x v="8"/>
    <x v="0"/>
    <x v="2"/>
    <x v="0"/>
    <x v="1"/>
    <x v="2"/>
    <n v="5"/>
    <n v="1200"/>
    <x v="2"/>
    <x v="0"/>
    <b v="0"/>
    <b v="0"/>
  </r>
  <r>
    <n v="10"/>
    <x v="9"/>
    <x v="9"/>
    <x v="9"/>
    <x v="0"/>
    <x v="3"/>
    <x v="1"/>
    <x v="0"/>
    <x v="3"/>
    <n v="4"/>
    <n v="1500"/>
    <x v="2"/>
    <x v="1"/>
    <b v="0"/>
    <b v="0"/>
  </r>
  <r>
    <n v="11"/>
    <x v="10"/>
    <x v="10"/>
    <x v="10"/>
    <x v="0"/>
    <x v="4"/>
    <x v="2"/>
    <x v="0"/>
    <x v="4"/>
    <n v="3"/>
    <n v="300"/>
    <x v="3"/>
    <x v="0"/>
    <b v="0"/>
    <b v="0"/>
  </r>
  <r>
    <n v="12"/>
    <x v="11"/>
    <x v="11"/>
    <x v="11"/>
    <x v="0"/>
    <x v="5"/>
    <x v="3"/>
    <x v="1"/>
    <x v="5"/>
    <n v="2"/>
    <n v="190"/>
    <x v="4"/>
    <x v="1"/>
    <b v="0"/>
    <b v="0"/>
  </r>
  <r>
    <n v="13"/>
    <x v="12"/>
    <x v="12"/>
    <x v="12"/>
    <x v="0"/>
    <x v="5"/>
    <x v="0"/>
    <x v="0"/>
    <x v="0"/>
    <n v="2"/>
    <n v="210"/>
    <x v="5"/>
    <x v="0"/>
    <b v="0"/>
    <b v="0"/>
  </r>
  <r>
    <n v="14"/>
    <x v="13"/>
    <x v="13"/>
    <x v="13"/>
    <x v="0"/>
    <x v="0"/>
    <x v="1"/>
    <x v="0"/>
    <x v="1"/>
    <n v="7"/>
    <n v="2100"/>
    <x v="6"/>
    <x v="1"/>
    <b v="0"/>
    <b v="0"/>
  </r>
  <r>
    <n v="15"/>
    <x v="14"/>
    <x v="14"/>
    <x v="14"/>
    <x v="0"/>
    <x v="1"/>
    <x v="2"/>
    <x v="0"/>
    <x v="2"/>
    <n v="6"/>
    <n v="1200"/>
    <x v="7"/>
    <x v="0"/>
    <b v="0"/>
    <b v="0"/>
  </r>
  <r>
    <n v="16"/>
    <x v="15"/>
    <x v="15"/>
    <x v="15"/>
    <x v="0"/>
    <x v="2"/>
    <x v="3"/>
    <x v="0"/>
    <x v="3"/>
    <n v="5"/>
    <n v="1500"/>
    <x v="8"/>
    <x v="1"/>
    <b v="0"/>
    <b v="0"/>
  </r>
  <r>
    <n v="17"/>
    <x v="16"/>
    <x v="16"/>
    <x v="16"/>
    <x v="0"/>
    <x v="3"/>
    <x v="0"/>
    <x v="0"/>
    <x v="4"/>
    <n v="4"/>
    <n v="300"/>
    <x v="9"/>
    <x v="0"/>
    <b v="0"/>
    <b v="0"/>
  </r>
  <r>
    <n v="18"/>
    <x v="17"/>
    <x v="17"/>
    <x v="17"/>
    <x v="0"/>
    <x v="4"/>
    <x v="1"/>
    <x v="0"/>
    <x v="5"/>
    <n v="3"/>
    <n v="190"/>
    <x v="10"/>
    <x v="1"/>
    <b v="0"/>
    <b v="0"/>
  </r>
  <r>
    <n v="19"/>
    <x v="18"/>
    <x v="18"/>
    <x v="18"/>
    <x v="0"/>
    <x v="5"/>
    <x v="2"/>
    <x v="0"/>
    <x v="0"/>
    <n v="2"/>
    <n v="210"/>
    <x v="5"/>
    <x v="0"/>
    <b v="0"/>
    <b v="0"/>
  </r>
  <r>
    <n v="20"/>
    <x v="19"/>
    <x v="19"/>
    <x v="19"/>
    <x v="0"/>
    <x v="0"/>
    <x v="3"/>
    <x v="0"/>
    <x v="2"/>
    <n v="7"/>
    <n v="2100"/>
    <x v="6"/>
    <x v="1"/>
    <b v="0"/>
    <b v="0"/>
  </r>
  <r>
    <n v="21"/>
    <x v="20"/>
    <x v="20"/>
    <x v="20"/>
    <x v="0"/>
    <x v="1"/>
    <x v="0"/>
    <x v="1"/>
    <x v="3"/>
    <n v="6"/>
    <n v="1200"/>
    <x v="7"/>
    <x v="0"/>
    <b v="0"/>
    <b v="0"/>
  </r>
  <r>
    <n v="22"/>
    <x v="21"/>
    <x v="21"/>
    <x v="21"/>
    <x v="0"/>
    <x v="2"/>
    <x v="1"/>
    <x v="0"/>
    <x v="4"/>
    <n v="5"/>
    <n v="300"/>
    <x v="11"/>
    <x v="1"/>
    <b v="0"/>
    <b v="0"/>
  </r>
  <r>
    <n v="23"/>
    <x v="22"/>
    <x v="22"/>
    <x v="22"/>
    <x v="0"/>
    <x v="3"/>
    <x v="2"/>
    <x v="1"/>
    <x v="5"/>
    <n v="4"/>
    <n v="200"/>
    <x v="12"/>
    <x v="0"/>
    <b v="0"/>
    <b v="0"/>
  </r>
  <r>
    <n v="24"/>
    <x v="23"/>
    <x v="23"/>
    <x v="23"/>
    <x v="0"/>
    <x v="4"/>
    <x v="3"/>
    <x v="0"/>
    <x v="0"/>
    <n v="3"/>
    <n v="190"/>
    <x v="10"/>
    <x v="1"/>
    <b v="0"/>
    <b v="0"/>
  </r>
  <r>
    <n v="25"/>
    <x v="24"/>
    <x v="24"/>
    <x v="24"/>
    <x v="0"/>
    <x v="5"/>
    <x v="0"/>
    <x v="0"/>
    <x v="1"/>
    <n v="2"/>
    <n v="2100"/>
    <x v="13"/>
    <x v="0"/>
    <b v="0"/>
    <b v="0"/>
  </r>
  <r>
    <n v="26"/>
    <x v="25"/>
    <x v="25"/>
    <x v="25"/>
    <x v="0"/>
    <x v="5"/>
    <x v="1"/>
    <x v="0"/>
    <x v="0"/>
    <n v="7"/>
    <n v="210"/>
    <x v="0"/>
    <x v="1"/>
    <b v="0"/>
    <b v="0"/>
  </r>
  <r>
    <n v="27"/>
    <x v="26"/>
    <x v="26"/>
    <x v="26"/>
    <x v="0"/>
    <x v="0"/>
    <x v="2"/>
    <x v="0"/>
    <x v="1"/>
    <n v="6"/>
    <n v="2100"/>
    <x v="1"/>
    <x v="0"/>
    <b v="0"/>
    <b v="0"/>
  </r>
  <r>
    <n v="28"/>
    <x v="27"/>
    <x v="27"/>
    <x v="27"/>
    <x v="0"/>
    <x v="0"/>
    <x v="3"/>
    <x v="1"/>
    <x v="0"/>
    <n v="7"/>
    <n v="210"/>
    <x v="0"/>
    <x v="1"/>
    <b v="0"/>
    <b v="0"/>
  </r>
  <r>
    <n v="29"/>
    <x v="28"/>
    <x v="28"/>
    <x v="28"/>
    <x v="0"/>
    <x v="0"/>
    <x v="0"/>
    <x v="2"/>
    <x v="0"/>
    <n v="7"/>
    <n v="210"/>
    <x v="0"/>
    <x v="0"/>
    <b v="0"/>
    <b v="0"/>
  </r>
  <r>
    <n v="30"/>
    <x v="29"/>
    <x v="29"/>
    <x v="29"/>
    <x v="0"/>
    <x v="0"/>
    <x v="1"/>
    <x v="3"/>
    <x v="0"/>
    <n v="7"/>
    <n v="210"/>
    <x v="0"/>
    <x v="1"/>
    <b v="0"/>
    <b v="0"/>
  </r>
  <r>
    <n v="31"/>
    <x v="30"/>
    <x v="30"/>
    <x v="30"/>
    <x v="0"/>
    <x v="0"/>
    <x v="2"/>
    <x v="0"/>
    <x v="0"/>
    <n v="7"/>
    <n v="210"/>
    <x v="0"/>
    <x v="0"/>
    <b v="0"/>
    <b v="0"/>
  </r>
  <r>
    <n v="32"/>
    <x v="31"/>
    <x v="31"/>
    <x v="0"/>
    <x v="1"/>
    <x v="0"/>
    <x v="3"/>
    <x v="1"/>
    <x v="0"/>
    <n v="7"/>
    <n v="210"/>
    <x v="0"/>
    <x v="1"/>
    <b v="0"/>
    <b v="0"/>
  </r>
  <r>
    <n v="33"/>
    <x v="32"/>
    <x v="32"/>
    <x v="1"/>
    <x v="1"/>
    <x v="0"/>
    <x v="0"/>
    <x v="2"/>
    <x v="0"/>
    <n v="7"/>
    <n v="210"/>
    <x v="0"/>
    <x v="0"/>
    <b v="0"/>
    <b v="0"/>
  </r>
  <r>
    <n v="34"/>
    <x v="33"/>
    <x v="33"/>
    <x v="2"/>
    <x v="1"/>
    <x v="0"/>
    <x v="1"/>
    <x v="3"/>
    <x v="0"/>
    <n v="7"/>
    <n v="210"/>
    <x v="0"/>
    <x v="1"/>
    <b v="0"/>
    <b v="0"/>
  </r>
  <r>
    <n v="35"/>
    <x v="34"/>
    <x v="34"/>
    <x v="3"/>
    <x v="1"/>
    <x v="1"/>
    <x v="2"/>
    <x v="1"/>
    <x v="0"/>
    <n v="7"/>
    <n v="210"/>
    <x v="0"/>
    <x v="0"/>
    <b v="0"/>
    <b v="0"/>
  </r>
  <r>
    <n v="36"/>
    <x v="35"/>
    <x v="35"/>
    <x v="4"/>
    <x v="1"/>
    <x v="1"/>
    <x v="3"/>
    <x v="0"/>
    <x v="0"/>
    <n v="7"/>
    <n v="210"/>
    <x v="0"/>
    <x v="1"/>
    <b v="0"/>
    <b v="0"/>
  </r>
  <r>
    <n v="37"/>
    <x v="36"/>
    <x v="36"/>
    <x v="5"/>
    <x v="1"/>
    <x v="1"/>
    <x v="0"/>
    <x v="2"/>
    <x v="5"/>
    <n v="2"/>
    <n v="190"/>
    <x v="4"/>
    <x v="0"/>
    <b v="0"/>
    <b v="0"/>
  </r>
  <r>
    <n v="38"/>
    <x v="37"/>
    <x v="37"/>
    <x v="6"/>
    <x v="1"/>
    <x v="1"/>
    <x v="1"/>
    <x v="3"/>
    <x v="0"/>
    <n v="2"/>
    <n v="210"/>
    <x v="5"/>
    <x v="1"/>
    <b v="0"/>
    <b v="0"/>
  </r>
  <r>
    <n v="39"/>
    <x v="38"/>
    <x v="38"/>
    <x v="7"/>
    <x v="1"/>
    <x v="1"/>
    <x v="2"/>
    <x v="1"/>
    <x v="1"/>
    <n v="7"/>
    <n v="2100"/>
    <x v="6"/>
    <x v="0"/>
    <b v="0"/>
    <b v="0"/>
  </r>
  <r>
    <n v="40"/>
    <x v="39"/>
    <x v="39"/>
    <x v="8"/>
    <x v="1"/>
    <x v="1"/>
    <x v="3"/>
    <x v="0"/>
    <x v="2"/>
    <n v="6"/>
    <n v="1200"/>
    <x v="7"/>
    <x v="1"/>
    <b v="0"/>
    <b v="0"/>
  </r>
  <r>
    <n v="41"/>
    <x v="40"/>
    <x v="40"/>
    <x v="9"/>
    <x v="1"/>
    <x v="1"/>
    <x v="0"/>
    <x v="2"/>
    <x v="1"/>
    <n v="7"/>
    <n v="2100"/>
    <x v="6"/>
    <x v="0"/>
    <b v="0"/>
    <b v="0"/>
  </r>
  <r>
    <n v="42"/>
    <x v="41"/>
    <x v="41"/>
    <x v="10"/>
    <x v="1"/>
    <x v="1"/>
    <x v="1"/>
    <x v="3"/>
    <x v="1"/>
    <n v="7"/>
    <n v="2100"/>
    <x v="6"/>
    <x v="1"/>
    <b v="0"/>
    <b v="0"/>
  </r>
  <r>
    <n v="43"/>
    <x v="42"/>
    <x v="42"/>
    <x v="11"/>
    <x v="1"/>
    <x v="2"/>
    <x v="2"/>
    <x v="3"/>
    <x v="1"/>
    <n v="7"/>
    <n v="2100"/>
    <x v="6"/>
    <x v="0"/>
    <b v="0"/>
    <b v="0"/>
  </r>
  <r>
    <n v="44"/>
    <x v="43"/>
    <x v="43"/>
    <x v="12"/>
    <x v="1"/>
    <x v="3"/>
    <x v="3"/>
    <x v="3"/>
    <x v="1"/>
    <n v="7"/>
    <n v="2100"/>
    <x v="6"/>
    <x v="1"/>
    <b v="0"/>
    <b v="0"/>
  </r>
  <r>
    <n v="45"/>
    <x v="44"/>
    <x v="44"/>
    <x v="13"/>
    <x v="1"/>
    <x v="4"/>
    <x v="0"/>
    <x v="3"/>
    <x v="1"/>
    <n v="7"/>
    <n v="2100"/>
    <x v="6"/>
    <x v="0"/>
    <b v="0"/>
    <b v="0"/>
  </r>
  <r>
    <n v="46"/>
    <x v="45"/>
    <x v="45"/>
    <x v="14"/>
    <x v="1"/>
    <x v="5"/>
    <x v="1"/>
    <x v="3"/>
    <x v="1"/>
    <n v="7"/>
    <n v="2100"/>
    <x v="6"/>
    <x v="1"/>
    <b v="0"/>
    <b v="0"/>
  </r>
  <r>
    <n v="47"/>
    <x v="46"/>
    <x v="46"/>
    <x v="15"/>
    <x v="1"/>
    <x v="5"/>
    <x v="2"/>
    <x v="0"/>
    <x v="1"/>
    <n v="7"/>
    <n v="2100"/>
    <x v="6"/>
    <x v="0"/>
    <b v="0"/>
    <b v="0"/>
  </r>
  <r>
    <n v="48"/>
    <x v="47"/>
    <x v="47"/>
    <x v="16"/>
    <x v="1"/>
    <x v="5"/>
    <x v="3"/>
    <x v="1"/>
    <x v="1"/>
    <n v="7"/>
    <n v="2100"/>
    <x v="6"/>
    <x v="1"/>
    <b v="0"/>
    <b v="0"/>
  </r>
  <r>
    <n v="49"/>
    <x v="48"/>
    <x v="48"/>
    <x v="17"/>
    <x v="1"/>
    <x v="5"/>
    <x v="0"/>
    <x v="2"/>
    <x v="1"/>
    <n v="7"/>
    <n v="2100"/>
    <x v="6"/>
    <x v="0"/>
    <b v="0"/>
    <b v="0"/>
  </r>
  <r>
    <n v="50"/>
    <x v="49"/>
    <x v="49"/>
    <x v="18"/>
    <x v="1"/>
    <x v="5"/>
    <x v="1"/>
    <x v="3"/>
    <x v="1"/>
    <n v="7"/>
    <n v="2100"/>
    <x v="6"/>
    <x v="1"/>
    <b v="0"/>
    <b v="0"/>
  </r>
  <r>
    <n v="51"/>
    <x v="50"/>
    <x v="50"/>
    <x v="19"/>
    <x v="1"/>
    <x v="5"/>
    <x v="2"/>
    <x v="0"/>
    <x v="0"/>
    <n v="7"/>
    <n v="210"/>
    <x v="0"/>
    <x v="0"/>
    <b v="0"/>
    <b v="0"/>
  </r>
  <r>
    <n v="52"/>
    <x v="51"/>
    <x v="51"/>
    <x v="20"/>
    <x v="1"/>
    <x v="5"/>
    <x v="3"/>
    <x v="1"/>
    <x v="1"/>
    <n v="6"/>
    <n v="2100"/>
    <x v="1"/>
    <x v="1"/>
    <b v="0"/>
    <b v="0"/>
  </r>
  <r>
    <n v="53"/>
    <x v="52"/>
    <x v="52"/>
    <x v="21"/>
    <x v="1"/>
    <x v="5"/>
    <x v="0"/>
    <x v="2"/>
    <x v="2"/>
    <n v="5"/>
    <n v="1200"/>
    <x v="2"/>
    <x v="0"/>
    <b v="0"/>
    <b v="0"/>
  </r>
  <r>
    <n v="54"/>
    <x v="53"/>
    <x v="53"/>
    <x v="22"/>
    <x v="1"/>
    <x v="5"/>
    <x v="1"/>
    <x v="3"/>
    <x v="3"/>
    <n v="4"/>
    <n v="1500"/>
    <x v="2"/>
    <x v="1"/>
    <b v="0"/>
    <b v="0"/>
  </r>
  <r>
    <n v="55"/>
    <x v="54"/>
    <x v="54"/>
    <x v="23"/>
    <x v="1"/>
    <x v="0"/>
    <x v="2"/>
    <x v="0"/>
    <x v="4"/>
    <n v="3"/>
    <n v="300"/>
    <x v="3"/>
    <x v="0"/>
    <b v="0"/>
    <b v="0"/>
  </r>
  <r>
    <n v="56"/>
    <x v="55"/>
    <x v="55"/>
    <x v="24"/>
    <x v="1"/>
    <x v="1"/>
    <x v="3"/>
    <x v="1"/>
    <x v="5"/>
    <n v="2"/>
    <n v="190"/>
    <x v="4"/>
    <x v="1"/>
    <b v="0"/>
    <b v="0"/>
  </r>
  <r>
    <n v="57"/>
    <x v="56"/>
    <x v="56"/>
    <x v="25"/>
    <x v="1"/>
    <x v="2"/>
    <x v="0"/>
    <x v="0"/>
    <x v="0"/>
    <n v="7"/>
    <n v="210"/>
    <x v="0"/>
    <x v="0"/>
    <b v="0"/>
    <b v="0"/>
  </r>
  <r>
    <n v="58"/>
    <x v="57"/>
    <x v="57"/>
    <x v="26"/>
    <x v="1"/>
    <x v="3"/>
    <x v="1"/>
    <x v="1"/>
    <x v="1"/>
    <n v="6"/>
    <n v="2100"/>
    <x v="1"/>
    <x v="1"/>
    <b v="0"/>
    <b v="0"/>
  </r>
  <r>
    <n v="59"/>
    <x v="58"/>
    <x v="58"/>
    <x v="27"/>
    <x v="1"/>
    <x v="4"/>
    <x v="2"/>
    <x v="0"/>
    <x v="2"/>
    <n v="5"/>
    <n v="1200"/>
    <x v="2"/>
    <x v="0"/>
    <b v="0"/>
    <b v="0"/>
  </r>
  <r>
    <n v="60"/>
    <x v="59"/>
    <x v="59"/>
    <x v="0"/>
    <x v="2"/>
    <x v="5"/>
    <x v="3"/>
    <x v="0"/>
    <x v="3"/>
    <n v="4"/>
    <n v="1500"/>
    <x v="2"/>
    <x v="1"/>
    <b v="0"/>
    <b v="0"/>
  </r>
  <r>
    <n v="61"/>
    <x v="60"/>
    <x v="60"/>
    <x v="1"/>
    <x v="2"/>
    <x v="0"/>
    <x v="0"/>
    <x v="0"/>
    <x v="4"/>
    <n v="3"/>
    <n v="300"/>
    <x v="3"/>
    <x v="0"/>
    <b v="0"/>
    <b v="0"/>
  </r>
  <r>
    <n v="62"/>
    <x v="61"/>
    <x v="61"/>
    <x v="2"/>
    <x v="2"/>
    <x v="1"/>
    <x v="1"/>
    <x v="1"/>
    <x v="5"/>
    <n v="2"/>
    <n v="190"/>
    <x v="4"/>
    <x v="1"/>
    <b v="0"/>
    <b v="0"/>
  </r>
  <r>
    <n v="63"/>
    <x v="62"/>
    <x v="62"/>
    <x v="3"/>
    <x v="2"/>
    <x v="2"/>
    <x v="2"/>
    <x v="1"/>
    <x v="0"/>
    <n v="2"/>
    <n v="210"/>
    <x v="5"/>
    <x v="0"/>
    <b v="0"/>
    <b v="0"/>
  </r>
  <r>
    <n v="64"/>
    <x v="63"/>
    <x v="63"/>
    <x v="4"/>
    <x v="2"/>
    <x v="3"/>
    <x v="3"/>
    <x v="0"/>
    <x v="1"/>
    <n v="7"/>
    <n v="2100"/>
    <x v="6"/>
    <x v="1"/>
    <b v="0"/>
    <b v="0"/>
  </r>
  <r>
    <n v="65"/>
    <x v="64"/>
    <x v="64"/>
    <x v="5"/>
    <x v="2"/>
    <x v="4"/>
    <x v="0"/>
    <x v="0"/>
    <x v="2"/>
    <n v="6"/>
    <n v="1200"/>
    <x v="7"/>
    <x v="0"/>
    <b v="0"/>
    <b v="0"/>
  </r>
  <r>
    <n v="66"/>
    <x v="65"/>
    <x v="65"/>
    <x v="6"/>
    <x v="2"/>
    <x v="5"/>
    <x v="1"/>
    <x v="1"/>
    <x v="3"/>
    <n v="5"/>
    <n v="1500"/>
    <x v="8"/>
    <x v="1"/>
    <b v="0"/>
    <b v="0"/>
  </r>
  <r>
    <n v="67"/>
    <x v="66"/>
    <x v="66"/>
    <x v="7"/>
    <x v="2"/>
    <x v="5"/>
    <x v="2"/>
    <x v="0"/>
    <x v="4"/>
    <n v="4"/>
    <n v="300"/>
    <x v="9"/>
    <x v="0"/>
    <b v="0"/>
    <b v="0"/>
  </r>
  <r>
    <n v="68"/>
    <x v="67"/>
    <x v="67"/>
    <x v="8"/>
    <x v="2"/>
    <x v="0"/>
    <x v="3"/>
    <x v="0"/>
    <x v="5"/>
    <n v="3"/>
    <n v="190"/>
    <x v="10"/>
    <x v="1"/>
    <b v="0"/>
    <b v="0"/>
  </r>
  <r>
    <n v="69"/>
    <x v="68"/>
    <x v="68"/>
    <x v="9"/>
    <x v="2"/>
    <x v="1"/>
    <x v="0"/>
    <x v="0"/>
    <x v="0"/>
    <n v="2"/>
    <n v="210"/>
    <x v="5"/>
    <x v="0"/>
    <b v="0"/>
    <b v="0"/>
  </r>
  <r>
    <n v="70"/>
    <x v="69"/>
    <x v="69"/>
    <x v="10"/>
    <x v="2"/>
    <x v="2"/>
    <x v="1"/>
    <x v="0"/>
    <x v="5"/>
    <n v="3"/>
    <n v="190"/>
    <x v="10"/>
    <x v="1"/>
    <b v="0"/>
    <b v="0"/>
  </r>
  <r>
    <n v="71"/>
    <x v="70"/>
    <x v="70"/>
    <x v="11"/>
    <x v="2"/>
    <x v="3"/>
    <x v="2"/>
    <x v="0"/>
    <x v="0"/>
    <n v="2"/>
    <n v="210"/>
    <x v="5"/>
    <x v="0"/>
    <b v="0"/>
    <b v="0"/>
  </r>
  <r>
    <n v="72"/>
    <x v="71"/>
    <x v="71"/>
    <x v="12"/>
    <x v="2"/>
    <x v="4"/>
    <x v="3"/>
    <x v="0"/>
    <x v="5"/>
    <n v="3"/>
    <n v="190"/>
    <x v="10"/>
    <x v="1"/>
    <b v="0"/>
    <b v="0"/>
  </r>
  <r>
    <n v="73"/>
    <x v="72"/>
    <x v="72"/>
    <x v="13"/>
    <x v="2"/>
    <x v="5"/>
    <x v="0"/>
    <x v="0"/>
    <x v="0"/>
    <n v="2"/>
    <n v="210"/>
    <x v="5"/>
    <x v="0"/>
    <b v="0"/>
    <b v="0"/>
  </r>
  <r>
    <n v="74"/>
    <x v="73"/>
    <x v="73"/>
    <x v="14"/>
    <x v="2"/>
    <x v="0"/>
    <x v="1"/>
    <x v="0"/>
    <x v="5"/>
    <n v="3"/>
    <n v="190"/>
    <x v="10"/>
    <x v="1"/>
    <b v="0"/>
    <b v="0"/>
  </r>
  <r>
    <n v="75"/>
    <x v="74"/>
    <x v="74"/>
    <x v="15"/>
    <x v="2"/>
    <x v="1"/>
    <x v="2"/>
    <x v="1"/>
    <x v="0"/>
    <n v="2"/>
    <n v="210"/>
    <x v="5"/>
    <x v="0"/>
    <b v="0"/>
    <b v="0"/>
  </r>
  <r>
    <n v="76"/>
    <x v="75"/>
    <x v="75"/>
    <x v="16"/>
    <x v="2"/>
    <x v="2"/>
    <x v="3"/>
    <x v="0"/>
    <x v="5"/>
    <n v="3"/>
    <n v="190"/>
    <x v="10"/>
    <x v="1"/>
    <b v="0"/>
    <b v="0"/>
  </r>
  <r>
    <n v="77"/>
    <x v="76"/>
    <x v="76"/>
    <x v="17"/>
    <x v="2"/>
    <x v="3"/>
    <x v="0"/>
    <x v="1"/>
    <x v="0"/>
    <n v="2"/>
    <n v="210"/>
    <x v="5"/>
    <x v="0"/>
    <b v="0"/>
    <b v="0"/>
  </r>
  <r>
    <n v="78"/>
    <x v="77"/>
    <x v="77"/>
    <x v="18"/>
    <x v="2"/>
    <x v="4"/>
    <x v="1"/>
    <x v="0"/>
    <x v="2"/>
    <n v="5"/>
    <n v="1200"/>
    <x v="2"/>
    <x v="1"/>
    <b v="0"/>
    <b v="0"/>
  </r>
  <r>
    <n v="79"/>
    <x v="78"/>
    <x v="78"/>
    <x v="19"/>
    <x v="2"/>
    <x v="5"/>
    <x v="2"/>
    <x v="0"/>
    <x v="3"/>
    <n v="4"/>
    <n v="1500"/>
    <x v="2"/>
    <x v="0"/>
    <b v="0"/>
    <b v="0"/>
  </r>
  <r>
    <n v="80"/>
    <x v="79"/>
    <x v="79"/>
    <x v="20"/>
    <x v="2"/>
    <x v="5"/>
    <x v="3"/>
    <x v="0"/>
    <x v="4"/>
    <n v="3"/>
    <n v="300"/>
    <x v="3"/>
    <x v="1"/>
    <b v="0"/>
    <b v="0"/>
  </r>
  <r>
    <n v="81"/>
    <x v="80"/>
    <x v="80"/>
    <x v="21"/>
    <x v="2"/>
    <x v="0"/>
    <x v="0"/>
    <x v="0"/>
    <x v="5"/>
    <n v="2"/>
    <n v="190"/>
    <x v="4"/>
    <x v="0"/>
    <b v="0"/>
    <b v="0"/>
  </r>
  <r>
    <n v="82"/>
    <x v="81"/>
    <x v="81"/>
    <x v="22"/>
    <x v="2"/>
    <x v="0"/>
    <x v="1"/>
    <x v="1"/>
    <x v="0"/>
    <n v="7"/>
    <n v="210"/>
    <x v="0"/>
    <x v="1"/>
    <b v="0"/>
    <b v="0"/>
  </r>
  <r>
    <n v="83"/>
    <x v="82"/>
    <x v="82"/>
    <x v="23"/>
    <x v="2"/>
    <x v="0"/>
    <x v="2"/>
    <x v="2"/>
    <x v="1"/>
    <n v="6"/>
    <n v="2100"/>
    <x v="1"/>
    <x v="0"/>
    <b v="0"/>
    <b v="0"/>
  </r>
  <r>
    <n v="84"/>
    <x v="83"/>
    <x v="83"/>
    <x v="24"/>
    <x v="2"/>
    <x v="0"/>
    <x v="3"/>
    <x v="3"/>
    <x v="2"/>
    <n v="5"/>
    <n v="1200"/>
    <x v="2"/>
    <x v="1"/>
    <b v="0"/>
    <b v="0"/>
  </r>
  <r>
    <n v="85"/>
    <x v="84"/>
    <x v="84"/>
    <x v="25"/>
    <x v="2"/>
    <x v="0"/>
    <x v="0"/>
    <x v="0"/>
    <x v="3"/>
    <n v="4"/>
    <n v="1500"/>
    <x v="2"/>
    <x v="0"/>
    <b v="0"/>
    <b v="0"/>
  </r>
  <r>
    <n v="86"/>
    <x v="85"/>
    <x v="85"/>
    <x v="26"/>
    <x v="2"/>
    <x v="0"/>
    <x v="1"/>
    <x v="1"/>
    <x v="4"/>
    <n v="3"/>
    <n v="300"/>
    <x v="3"/>
    <x v="1"/>
    <b v="0"/>
    <b v="0"/>
  </r>
  <r>
    <n v="87"/>
    <x v="86"/>
    <x v="86"/>
    <x v="27"/>
    <x v="2"/>
    <x v="0"/>
    <x v="2"/>
    <x v="2"/>
    <x v="5"/>
    <n v="2"/>
    <n v="190"/>
    <x v="4"/>
    <x v="0"/>
    <b v="0"/>
    <b v="0"/>
  </r>
  <r>
    <n v="88"/>
    <x v="87"/>
    <x v="87"/>
    <x v="28"/>
    <x v="2"/>
    <x v="0"/>
    <x v="3"/>
    <x v="3"/>
    <x v="0"/>
    <n v="2"/>
    <n v="210"/>
    <x v="5"/>
    <x v="1"/>
    <b v="0"/>
    <b v="0"/>
  </r>
  <r>
    <n v="89"/>
    <x v="88"/>
    <x v="88"/>
    <x v="29"/>
    <x v="2"/>
    <x v="1"/>
    <x v="0"/>
    <x v="1"/>
    <x v="4"/>
    <n v="3"/>
    <n v="300"/>
    <x v="3"/>
    <x v="0"/>
    <b v="0"/>
    <b v="0"/>
  </r>
  <r>
    <n v="90"/>
    <x v="89"/>
    <x v="89"/>
    <x v="30"/>
    <x v="2"/>
    <x v="1"/>
    <x v="1"/>
    <x v="0"/>
    <x v="4"/>
    <n v="3"/>
    <n v="300"/>
    <x v="3"/>
    <x v="1"/>
    <b v="0"/>
    <b v="0"/>
  </r>
  <r>
    <n v="91"/>
    <x v="90"/>
    <x v="90"/>
    <x v="0"/>
    <x v="3"/>
    <x v="1"/>
    <x v="2"/>
    <x v="2"/>
    <x v="4"/>
    <n v="3"/>
    <n v="300"/>
    <x v="3"/>
    <x v="0"/>
    <b v="0"/>
    <b v="0"/>
  </r>
  <r>
    <n v="92"/>
    <x v="91"/>
    <x v="91"/>
    <x v="1"/>
    <x v="3"/>
    <x v="1"/>
    <x v="3"/>
    <x v="3"/>
    <x v="4"/>
    <n v="3"/>
    <n v="300"/>
    <x v="3"/>
    <x v="1"/>
    <b v="0"/>
    <b v="0"/>
  </r>
  <r>
    <n v="93"/>
    <x v="92"/>
    <x v="92"/>
    <x v="2"/>
    <x v="3"/>
    <x v="1"/>
    <x v="0"/>
    <x v="1"/>
    <x v="4"/>
    <n v="3"/>
    <n v="300"/>
    <x v="3"/>
    <x v="0"/>
    <b v="0"/>
    <b v="0"/>
  </r>
  <r>
    <n v="94"/>
    <x v="93"/>
    <x v="93"/>
    <x v="3"/>
    <x v="3"/>
    <x v="1"/>
    <x v="1"/>
    <x v="0"/>
    <x v="4"/>
    <n v="3"/>
    <n v="300"/>
    <x v="3"/>
    <x v="1"/>
    <b v="0"/>
    <b v="0"/>
  </r>
  <r>
    <n v="95"/>
    <x v="94"/>
    <x v="94"/>
    <x v="4"/>
    <x v="3"/>
    <x v="1"/>
    <x v="2"/>
    <x v="2"/>
    <x v="4"/>
    <n v="3"/>
    <n v="300"/>
    <x v="3"/>
    <x v="0"/>
    <b v="0"/>
    <b v="0"/>
  </r>
  <r>
    <n v="96"/>
    <x v="95"/>
    <x v="95"/>
    <x v="5"/>
    <x v="3"/>
    <x v="1"/>
    <x v="3"/>
    <x v="3"/>
    <x v="4"/>
    <n v="3"/>
    <n v="300"/>
    <x v="3"/>
    <x v="1"/>
    <b v="0"/>
    <b v="0"/>
  </r>
  <r>
    <n v="97"/>
    <x v="96"/>
    <x v="96"/>
    <x v="6"/>
    <x v="3"/>
    <x v="2"/>
    <x v="0"/>
    <x v="3"/>
    <x v="4"/>
    <n v="3"/>
    <n v="300"/>
    <x v="3"/>
    <x v="0"/>
    <b v="0"/>
    <b v="0"/>
  </r>
  <r>
    <n v="98"/>
    <x v="97"/>
    <x v="97"/>
    <x v="7"/>
    <x v="3"/>
    <x v="3"/>
    <x v="1"/>
    <x v="3"/>
    <x v="4"/>
    <n v="3"/>
    <n v="300"/>
    <x v="3"/>
    <x v="1"/>
    <b v="0"/>
    <b v="0"/>
  </r>
  <r>
    <n v="99"/>
    <x v="98"/>
    <x v="98"/>
    <x v="8"/>
    <x v="3"/>
    <x v="4"/>
    <x v="2"/>
    <x v="3"/>
    <x v="0"/>
    <n v="3"/>
    <n v="190"/>
    <x v="10"/>
    <x v="0"/>
    <b v="0"/>
    <b v="0"/>
  </r>
  <r>
    <n v="100"/>
    <x v="99"/>
    <x v="99"/>
    <x v="9"/>
    <x v="3"/>
    <x v="5"/>
    <x v="3"/>
    <x v="3"/>
    <x v="1"/>
    <n v="2"/>
    <n v="2100"/>
    <x v="13"/>
    <x v="1"/>
    <b v="0"/>
    <b v="0"/>
  </r>
  <r>
    <n v="101"/>
    <x v="100"/>
    <x v="100"/>
    <x v="10"/>
    <x v="3"/>
    <x v="5"/>
    <x v="0"/>
    <x v="0"/>
    <x v="0"/>
    <n v="7"/>
    <n v="210"/>
    <x v="0"/>
    <x v="0"/>
    <b v="0"/>
    <b v="0"/>
  </r>
  <r>
    <n v="102"/>
    <x v="101"/>
    <x v="101"/>
    <x v="11"/>
    <x v="3"/>
    <x v="5"/>
    <x v="1"/>
    <x v="1"/>
    <x v="1"/>
    <n v="6"/>
    <n v="2100"/>
    <x v="1"/>
    <x v="1"/>
    <b v="0"/>
    <b v="0"/>
  </r>
  <r>
    <n v="103"/>
    <x v="102"/>
    <x v="102"/>
    <x v="12"/>
    <x v="3"/>
    <x v="5"/>
    <x v="2"/>
    <x v="2"/>
    <x v="2"/>
    <n v="5"/>
    <n v="1200"/>
    <x v="2"/>
    <x v="0"/>
    <b v="0"/>
    <b v="0"/>
  </r>
  <r>
    <n v="104"/>
    <x v="103"/>
    <x v="103"/>
    <x v="13"/>
    <x v="3"/>
    <x v="5"/>
    <x v="3"/>
    <x v="3"/>
    <x v="1"/>
    <n v="6"/>
    <n v="2100"/>
    <x v="1"/>
    <x v="1"/>
    <b v="0"/>
    <b v="0"/>
  </r>
  <r>
    <n v="105"/>
    <x v="104"/>
    <x v="104"/>
    <x v="14"/>
    <x v="3"/>
    <x v="5"/>
    <x v="0"/>
    <x v="0"/>
    <x v="2"/>
    <n v="5"/>
    <n v="1200"/>
    <x v="2"/>
    <x v="0"/>
    <b v="0"/>
    <b v="0"/>
  </r>
  <r>
    <n v="106"/>
    <x v="105"/>
    <x v="105"/>
    <x v="15"/>
    <x v="3"/>
    <x v="5"/>
    <x v="1"/>
    <x v="1"/>
    <x v="5"/>
    <n v="2"/>
    <n v="190"/>
    <x v="4"/>
    <x v="1"/>
    <b v="0"/>
    <b v="0"/>
  </r>
  <r>
    <n v="107"/>
    <x v="106"/>
    <x v="106"/>
    <x v="16"/>
    <x v="3"/>
    <x v="5"/>
    <x v="2"/>
    <x v="2"/>
    <x v="1"/>
    <n v="6"/>
    <n v="2100"/>
    <x v="1"/>
    <x v="0"/>
    <b v="0"/>
    <b v="0"/>
  </r>
  <r>
    <n v="108"/>
    <x v="107"/>
    <x v="107"/>
    <x v="17"/>
    <x v="3"/>
    <x v="5"/>
    <x v="3"/>
    <x v="3"/>
    <x v="2"/>
    <n v="5"/>
    <n v="1200"/>
    <x v="2"/>
    <x v="1"/>
    <b v="0"/>
    <b v="0"/>
  </r>
  <r>
    <n v="109"/>
    <x v="108"/>
    <x v="108"/>
    <x v="18"/>
    <x v="3"/>
    <x v="0"/>
    <x v="0"/>
    <x v="0"/>
    <x v="1"/>
    <n v="6"/>
    <n v="2100"/>
    <x v="1"/>
    <x v="0"/>
    <b v="0"/>
    <b v="0"/>
  </r>
  <r>
    <n v="110"/>
    <x v="109"/>
    <x v="109"/>
    <x v="19"/>
    <x v="3"/>
    <x v="1"/>
    <x v="1"/>
    <x v="1"/>
    <x v="2"/>
    <n v="5"/>
    <n v="1200"/>
    <x v="2"/>
    <x v="1"/>
    <b v="0"/>
    <b v="0"/>
  </r>
  <r>
    <n v="111"/>
    <x v="110"/>
    <x v="110"/>
    <x v="20"/>
    <x v="3"/>
    <x v="2"/>
    <x v="2"/>
    <x v="0"/>
    <x v="1"/>
    <n v="6"/>
    <n v="2100"/>
    <x v="1"/>
    <x v="0"/>
    <b v="0"/>
    <b v="0"/>
  </r>
  <r>
    <n v="112"/>
    <x v="111"/>
    <x v="111"/>
    <x v="21"/>
    <x v="3"/>
    <x v="3"/>
    <x v="3"/>
    <x v="1"/>
    <x v="2"/>
    <n v="5"/>
    <n v="1200"/>
    <x v="2"/>
    <x v="1"/>
    <b v="0"/>
    <b v="0"/>
  </r>
  <r>
    <n v="113"/>
    <x v="112"/>
    <x v="112"/>
    <x v="22"/>
    <x v="3"/>
    <x v="4"/>
    <x v="0"/>
    <x v="0"/>
    <x v="0"/>
    <n v="2"/>
    <n v="210"/>
    <x v="5"/>
    <x v="0"/>
    <b v="0"/>
    <b v="0"/>
  </r>
  <r>
    <n v="114"/>
    <x v="113"/>
    <x v="113"/>
    <x v="23"/>
    <x v="3"/>
    <x v="5"/>
    <x v="1"/>
    <x v="0"/>
    <x v="1"/>
    <n v="7"/>
    <n v="2100"/>
    <x v="6"/>
    <x v="1"/>
    <b v="0"/>
    <b v="0"/>
  </r>
  <r>
    <n v="115"/>
    <x v="114"/>
    <x v="114"/>
    <x v="24"/>
    <x v="3"/>
    <x v="0"/>
    <x v="2"/>
    <x v="0"/>
    <x v="2"/>
    <n v="6"/>
    <n v="1200"/>
    <x v="7"/>
    <x v="0"/>
    <b v="0"/>
    <b v="0"/>
  </r>
  <r>
    <n v="116"/>
    <x v="115"/>
    <x v="115"/>
    <x v="25"/>
    <x v="3"/>
    <x v="1"/>
    <x v="3"/>
    <x v="1"/>
    <x v="3"/>
    <n v="5"/>
    <n v="1500"/>
    <x v="8"/>
    <x v="1"/>
    <b v="0"/>
    <b v="0"/>
  </r>
  <r>
    <n v="117"/>
    <x v="116"/>
    <x v="116"/>
    <x v="26"/>
    <x v="3"/>
    <x v="2"/>
    <x v="0"/>
    <x v="1"/>
    <x v="4"/>
    <n v="4"/>
    <n v="300"/>
    <x v="9"/>
    <x v="0"/>
    <b v="0"/>
    <b v="0"/>
  </r>
  <r>
    <n v="118"/>
    <x v="117"/>
    <x v="117"/>
    <x v="27"/>
    <x v="3"/>
    <x v="3"/>
    <x v="1"/>
    <x v="0"/>
    <x v="5"/>
    <n v="3"/>
    <n v="190"/>
    <x v="10"/>
    <x v="1"/>
    <b v="0"/>
    <b v="0"/>
  </r>
  <r>
    <n v="119"/>
    <x v="118"/>
    <x v="118"/>
    <x v="28"/>
    <x v="3"/>
    <x v="4"/>
    <x v="2"/>
    <x v="0"/>
    <x v="0"/>
    <n v="2"/>
    <n v="210"/>
    <x v="5"/>
    <x v="0"/>
    <b v="0"/>
    <b v="0"/>
  </r>
  <r>
    <n v="120"/>
    <x v="119"/>
    <x v="119"/>
    <x v="29"/>
    <x v="3"/>
    <x v="5"/>
    <x v="3"/>
    <x v="1"/>
    <x v="2"/>
    <n v="7"/>
    <n v="2100"/>
    <x v="6"/>
    <x v="1"/>
    <b v="0"/>
    <b v="0"/>
  </r>
  <r>
    <n v="121"/>
    <x v="120"/>
    <x v="120"/>
    <x v="0"/>
    <x v="4"/>
    <x v="5"/>
    <x v="0"/>
    <x v="0"/>
    <x v="3"/>
    <n v="6"/>
    <n v="1200"/>
    <x v="7"/>
    <x v="0"/>
    <b v="0"/>
    <b v="0"/>
  </r>
  <r>
    <n v="122"/>
    <x v="121"/>
    <x v="121"/>
    <x v="1"/>
    <x v="4"/>
    <x v="0"/>
    <x v="1"/>
    <x v="0"/>
    <x v="4"/>
    <n v="5"/>
    <n v="300"/>
    <x v="11"/>
    <x v="1"/>
    <b v="0"/>
    <b v="0"/>
  </r>
  <r>
    <n v="123"/>
    <x v="122"/>
    <x v="122"/>
    <x v="2"/>
    <x v="4"/>
    <x v="1"/>
    <x v="2"/>
    <x v="0"/>
    <x v="5"/>
    <n v="4"/>
    <n v="200"/>
    <x v="12"/>
    <x v="0"/>
    <b v="0"/>
    <b v="0"/>
  </r>
  <r>
    <n v="124"/>
    <x v="123"/>
    <x v="123"/>
    <x v="3"/>
    <x v="4"/>
    <x v="2"/>
    <x v="3"/>
    <x v="0"/>
    <x v="0"/>
    <n v="3"/>
    <n v="190"/>
    <x v="10"/>
    <x v="1"/>
    <b v="0"/>
    <b v="0"/>
  </r>
  <r>
    <n v="125"/>
    <x v="124"/>
    <x v="124"/>
    <x v="4"/>
    <x v="4"/>
    <x v="3"/>
    <x v="0"/>
    <x v="0"/>
    <x v="1"/>
    <n v="2"/>
    <n v="2100"/>
    <x v="13"/>
    <x v="0"/>
    <b v="0"/>
    <b v="0"/>
  </r>
  <r>
    <n v="126"/>
    <x v="125"/>
    <x v="125"/>
    <x v="5"/>
    <x v="4"/>
    <x v="4"/>
    <x v="1"/>
    <x v="0"/>
    <x v="0"/>
    <n v="7"/>
    <n v="210"/>
    <x v="0"/>
    <x v="1"/>
    <b v="0"/>
    <b v="0"/>
  </r>
  <r>
    <n v="127"/>
    <x v="126"/>
    <x v="126"/>
    <x v="6"/>
    <x v="4"/>
    <x v="5"/>
    <x v="2"/>
    <x v="0"/>
    <x v="1"/>
    <n v="6"/>
    <n v="2100"/>
    <x v="1"/>
    <x v="0"/>
    <b v="0"/>
    <b v="0"/>
  </r>
  <r>
    <n v="128"/>
    <x v="127"/>
    <x v="127"/>
    <x v="7"/>
    <x v="4"/>
    <x v="0"/>
    <x v="3"/>
    <x v="0"/>
    <x v="2"/>
    <n v="5"/>
    <n v="1200"/>
    <x v="2"/>
    <x v="1"/>
    <b v="0"/>
    <b v="0"/>
  </r>
  <r>
    <n v="129"/>
    <x v="128"/>
    <x v="128"/>
    <x v="8"/>
    <x v="4"/>
    <x v="1"/>
    <x v="0"/>
    <x v="1"/>
    <x v="3"/>
    <n v="4"/>
    <n v="1500"/>
    <x v="2"/>
    <x v="0"/>
    <b v="0"/>
    <b v="0"/>
  </r>
  <r>
    <n v="130"/>
    <x v="129"/>
    <x v="129"/>
    <x v="9"/>
    <x v="4"/>
    <x v="2"/>
    <x v="1"/>
    <x v="0"/>
    <x v="4"/>
    <n v="3"/>
    <n v="300"/>
    <x v="3"/>
    <x v="1"/>
    <b v="0"/>
    <b v="0"/>
  </r>
  <r>
    <n v="131"/>
    <x v="130"/>
    <x v="130"/>
    <x v="10"/>
    <x v="4"/>
    <x v="3"/>
    <x v="2"/>
    <x v="1"/>
    <x v="5"/>
    <n v="2"/>
    <n v="190"/>
    <x v="4"/>
    <x v="0"/>
    <b v="0"/>
    <b v="0"/>
  </r>
  <r>
    <n v="132"/>
    <x v="131"/>
    <x v="131"/>
    <x v="11"/>
    <x v="4"/>
    <x v="4"/>
    <x v="3"/>
    <x v="0"/>
    <x v="0"/>
    <n v="7"/>
    <n v="210"/>
    <x v="0"/>
    <x v="1"/>
    <b v="0"/>
    <b v="0"/>
  </r>
  <r>
    <n v="133"/>
    <x v="132"/>
    <x v="132"/>
    <x v="12"/>
    <x v="4"/>
    <x v="5"/>
    <x v="0"/>
    <x v="0"/>
    <x v="1"/>
    <n v="6"/>
    <n v="2100"/>
    <x v="1"/>
    <x v="0"/>
    <b v="0"/>
    <b v="0"/>
  </r>
  <r>
    <n v="134"/>
    <x v="133"/>
    <x v="133"/>
    <x v="13"/>
    <x v="4"/>
    <x v="5"/>
    <x v="1"/>
    <x v="0"/>
    <x v="2"/>
    <n v="5"/>
    <n v="1200"/>
    <x v="2"/>
    <x v="1"/>
    <b v="0"/>
    <b v="0"/>
  </r>
  <r>
    <n v="135"/>
    <x v="134"/>
    <x v="134"/>
    <x v="14"/>
    <x v="4"/>
    <x v="0"/>
    <x v="2"/>
    <x v="0"/>
    <x v="3"/>
    <n v="4"/>
    <n v="1500"/>
    <x v="2"/>
    <x v="0"/>
    <b v="0"/>
    <b v="0"/>
  </r>
  <r>
    <n v="136"/>
    <x v="135"/>
    <x v="135"/>
    <x v="15"/>
    <x v="4"/>
    <x v="0"/>
    <x v="3"/>
    <x v="1"/>
    <x v="4"/>
    <n v="3"/>
    <n v="300"/>
    <x v="3"/>
    <x v="1"/>
    <b v="0"/>
    <b v="0"/>
  </r>
  <r>
    <n v="137"/>
    <x v="136"/>
    <x v="136"/>
    <x v="16"/>
    <x v="4"/>
    <x v="0"/>
    <x v="0"/>
    <x v="2"/>
    <x v="5"/>
    <n v="2"/>
    <n v="190"/>
    <x v="4"/>
    <x v="0"/>
    <b v="0"/>
    <b v="0"/>
  </r>
  <r>
    <n v="138"/>
    <x v="137"/>
    <x v="137"/>
    <x v="17"/>
    <x v="4"/>
    <x v="0"/>
    <x v="1"/>
    <x v="3"/>
    <x v="0"/>
    <n v="2"/>
    <n v="210"/>
    <x v="5"/>
    <x v="1"/>
    <b v="0"/>
    <b v="0"/>
  </r>
  <r>
    <n v="139"/>
    <x v="138"/>
    <x v="138"/>
    <x v="18"/>
    <x v="4"/>
    <x v="0"/>
    <x v="2"/>
    <x v="0"/>
    <x v="1"/>
    <n v="7"/>
    <n v="2100"/>
    <x v="6"/>
    <x v="0"/>
    <b v="0"/>
    <b v="0"/>
  </r>
  <r>
    <n v="140"/>
    <x v="139"/>
    <x v="139"/>
    <x v="19"/>
    <x v="4"/>
    <x v="0"/>
    <x v="3"/>
    <x v="1"/>
    <x v="2"/>
    <n v="6"/>
    <n v="1200"/>
    <x v="7"/>
    <x v="1"/>
    <b v="0"/>
    <b v="0"/>
  </r>
  <r>
    <n v="141"/>
    <x v="140"/>
    <x v="140"/>
    <x v="20"/>
    <x v="4"/>
    <x v="0"/>
    <x v="0"/>
    <x v="2"/>
    <x v="3"/>
    <n v="5"/>
    <n v="1500"/>
    <x v="8"/>
    <x v="0"/>
    <b v="0"/>
    <b v="0"/>
  </r>
  <r>
    <n v="142"/>
    <x v="141"/>
    <x v="141"/>
    <x v="21"/>
    <x v="4"/>
    <x v="0"/>
    <x v="1"/>
    <x v="3"/>
    <x v="4"/>
    <n v="4"/>
    <n v="300"/>
    <x v="9"/>
    <x v="1"/>
    <b v="0"/>
    <b v="0"/>
  </r>
  <r>
    <n v="143"/>
    <x v="142"/>
    <x v="142"/>
    <x v="22"/>
    <x v="4"/>
    <x v="1"/>
    <x v="2"/>
    <x v="1"/>
    <x v="5"/>
    <n v="3"/>
    <n v="190"/>
    <x v="10"/>
    <x v="0"/>
    <b v="0"/>
    <b v="0"/>
  </r>
  <r>
    <n v="144"/>
    <x v="143"/>
    <x v="143"/>
    <x v="23"/>
    <x v="4"/>
    <x v="1"/>
    <x v="3"/>
    <x v="0"/>
    <x v="4"/>
    <n v="4"/>
    <n v="300"/>
    <x v="9"/>
    <x v="1"/>
    <b v="0"/>
    <b v="0"/>
  </r>
  <r>
    <n v="145"/>
    <x v="144"/>
    <x v="144"/>
    <x v="24"/>
    <x v="4"/>
    <x v="1"/>
    <x v="0"/>
    <x v="2"/>
    <x v="4"/>
    <n v="4"/>
    <n v="300"/>
    <x v="9"/>
    <x v="0"/>
    <b v="0"/>
    <b v="0"/>
  </r>
  <r>
    <n v="146"/>
    <x v="145"/>
    <x v="145"/>
    <x v="25"/>
    <x v="4"/>
    <x v="1"/>
    <x v="1"/>
    <x v="3"/>
    <x v="4"/>
    <n v="4"/>
    <n v="300"/>
    <x v="9"/>
    <x v="1"/>
    <b v="0"/>
    <b v="0"/>
  </r>
  <r>
    <n v="147"/>
    <x v="146"/>
    <x v="146"/>
    <x v="26"/>
    <x v="4"/>
    <x v="1"/>
    <x v="2"/>
    <x v="1"/>
    <x v="4"/>
    <n v="4"/>
    <n v="300"/>
    <x v="9"/>
    <x v="0"/>
    <b v="0"/>
    <b v="0"/>
  </r>
  <r>
    <n v="148"/>
    <x v="147"/>
    <x v="147"/>
    <x v="27"/>
    <x v="4"/>
    <x v="1"/>
    <x v="3"/>
    <x v="0"/>
    <x v="4"/>
    <n v="4"/>
    <n v="300"/>
    <x v="9"/>
    <x v="1"/>
    <b v="0"/>
    <b v="0"/>
  </r>
  <r>
    <n v="149"/>
    <x v="148"/>
    <x v="148"/>
    <x v="28"/>
    <x v="4"/>
    <x v="1"/>
    <x v="0"/>
    <x v="2"/>
    <x v="4"/>
    <n v="4"/>
    <n v="300"/>
    <x v="9"/>
    <x v="0"/>
    <b v="0"/>
    <b v="0"/>
  </r>
  <r>
    <n v="150"/>
    <x v="149"/>
    <x v="149"/>
    <x v="29"/>
    <x v="4"/>
    <x v="1"/>
    <x v="1"/>
    <x v="3"/>
    <x v="4"/>
    <n v="4"/>
    <n v="300"/>
    <x v="9"/>
    <x v="1"/>
    <b v="0"/>
    <b v="0"/>
  </r>
  <r>
    <n v="151"/>
    <x v="150"/>
    <x v="150"/>
    <x v="30"/>
    <x v="4"/>
    <x v="2"/>
    <x v="2"/>
    <x v="3"/>
    <x v="4"/>
    <n v="4"/>
    <n v="300"/>
    <x v="9"/>
    <x v="0"/>
    <b v="0"/>
    <b v="0"/>
  </r>
  <r>
    <n v="152"/>
    <x v="151"/>
    <x v="151"/>
    <x v="0"/>
    <x v="5"/>
    <x v="3"/>
    <x v="3"/>
    <x v="3"/>
    <x v="1"/>
    <n v="6"/>
    <n v="2100"/>
    <x v="1"/>
    <x v="1"/>
    <b v="0"/>
    <b v="0"/>
  </r>
  <r>
    <n v="153"/>
    <x v="152"/>
    <x v="152"/>
    <x v="1"/>
    <x v="5"/>
    <x v="4"/>
    <x v="0"/>
    <x v="3"/>
    <x v="2"/>
    <n v="5"/>
    <n v="1200"/>
    <x v="2"/>
    <x v="0"/>
    <b v="0"/>
    <b v="0"/>
  </r>
  <r>
    <n v="154"/>
    <x v="153"/>
    <x v="153"/>
    <x v="2"/>
    <x v="5"/>
    <x v="5"/>
    <x v="1"/>
    <x v="3"/>
    <x v="3"/>
    <n v="4"/>
    <n v="1500"/>
    <x v="2"/>
    <x v="1"/>
    <b v="0"/>
    <b v="0"/>
  </r>
  <r>
    <n v="155"/>
    <x v="154"/>
    <x v="154"/>
    <x v="3"/>
    <x v="5"/>
    <x v="5"/>
    <x v="2"/>
    <x v="0"/>
    <x v="4"/>
    <n v="3"/>
    <n v="300"/>
    <x v="3"/>
    <x v="0"/>
    <b v="0"/>
    <b v="0"/>
  </r>
  <r>
    <n v="156"/>
    <x v="155"/>
    <x v="155"/>
    <x v="4"/>
    <x v="5"/>
    <x v="5"/>
    <x v="3"/>
    <x v="1"/>
    <x v="5"/>
    <n v="2"/>
    <n v="190"/>
    <x v="4"/>
    <x v="1"/>
    <b v="0"/>
    <b v="0"/>
  </r>
  <r>
    <n v="157"/>
    <x v="156"/>
    <x v="156"/>
    <x v="5"/>
    <x v="5"/>
    <x v="5"/>
    <x v="0"/>
    <x v="2"/>
    <x v="0"/>
    <n v="7"/>
    <n v="210"/>
    <x v="0"/>
    <x v="0"/>
    <b v="0"/>
    <b v="0"/>
  </r>
  <r>
    <n v="158"/>
    <x v="157"/>
    <x v="157"/>
    <x v="6"/>
    <x v="5"/>
    <x v="5"/>
    <x v="1"/>
    <x v="3"/>
    <x v="1"/>
    <n v="6"/>
    <n v="2100"/>
    <x v="1"/>
    <x v="1"/>
    <b v="0"/>
    <b v="0"/>
  </r>
  <r>
    <n v="159"/>
    <x v="158"/>
    <x v="158"/>
    <x v="7"/>
    <x v="5"/>
    <x v="5"/>
    <x v="2"/>
    <x v="0"/>
    <x v="2"/>
    <n v="5"/>
    <n v="1200"/>
    <x v="2"/>
    <x v="0"/>
    <b v="0"/>
    <b v="0"/>
  </r>
  <r>
    <n v="160"/>
    <x v="159"/>
    <x v="159"/>
    <x v="8"/>
    <x v="5"/>
    <x v="5"/>
    <x v="3"/>
    <x v="1"/>
    <x v="3"/>
    <n v="4"/>
    <n v="1500"/>
    <x v="2"/>
    <x v="1"/>
    <b v="0"/>
    <b v="0"/>
  </r>
  <r>
    <n v="161"/>
    <x v="160"/>
    <x v="160"/>
    <x v="9"/>
    <x v="5"/>
    <x v="5"/>
    <x v="0"/>
    <x v="2"/>
    <x v="4"/>
    <n v="3"/>
    <n v="300"/>
    <x v="3"/>
    <x v="0"/>
    <b v="0"/>
    <b v="0"/>
  </r>
  <r>
    <n v="162"/>
    <x v="161"/>
    <x v="161"/>
    <x v="10"/>
    <x v="5"/>
    <x v="5"/>
    <x v="1"/>
    <x v="3"/>
    <x v="5"/>
    <n v="2"/>
    <n v="190"/>
    <x v="4"/>
    <x v="1"/>
    <b v="0"/>
    <b v="0"/>
  </r>
  <r>
    <n v="163"/>
    <x v="162"/>
    <x v="162"/>
    <x v="11"/>
    <x v="5"/>
    <x v="0"/>
    <x v="2"/>
    <x v="0"/>
    <x v="0"/>
    <n v="2"/>
    <n v="210"/>
    <x v="5"/>
    <x v="0"/>
    <b v="0"/>
    <b v="0"/>
  </r>
  <r>
    <n v="164"/>
    <x v="163"/>
    <x v="163"/>
    <x v="12"/>
    <x v="5"/>
    <x v="1"/>
    <x v="3"/>
    <x v="1"/>
    <x v="1"/>
    <n v="7"/>
    <n v="2100"/>
    <x v="6"/>
    <x v="1"/>
    <b v="0"/>
    <b v="0"/>
  </r>
  <r>
    <n v="165"/>
    <x v="164"/>
    <x v="164"/>
    <x v="13"/>
    <x v="5"/>
    <x v="2"/>
    <x v="0"/>
    <x v="0"/>
    <x v="2"/>
    <n v="6"/>
    <n v="1200"/>
    <x v="7"/>
    <x v="0"/>
    <b v="0"/>
    <b v="0"/>
  </r>
  <r>
    <n v="166"/>
    <x v="165"/>
    <x v="165"/>
    <x v="14"/>
    <x v="5"/>
    <x v="3"/>
    <x v="1"/>
    <x v="1"/>
    <x v="3"/>
    <n v="5"/>
    <n v="1500"/>
    <x v="8"/>
    <x v="1"/>
    <b v="0"/>
    <b v="0"/>
  </r>
  <r>
    <n v="167"/>
    <x v="166"/>
    <x v="166"/>
    <x v="15"/>
    <x v="5"/>
    <x v="4"/>
    <x v="2"/>
    <x v="0"/>
    <x v="4"/>
    <n v="4"/>
    <n v="300"/>
    <x v="9"/>
    <x v="0"/>
    <b v="0"/>
    <b v="0"/>
  </r>
  <r>
    <n v="168"/>
    <x v="167"/>
    <x v="167"/>
    <x v="16"/>
    <x v="5"/>
    <x v="5"/>
    <x v="3"/>
    <x v="0"/>
    <x v="5"/>
    <n v="3"/>
    <n v="190"/>
    <x v="10"/>
    <x v="1"/>
    <b v="0"/>
    <b v="0"/>
  </r>
  <r>
    <n v="169"/>
    <x v="168"/>
    <x v="168"/>
    <x v="17"/>
    <x v="5"/>
    <x v="0"/>
    <x v="0"/>
    <x v="0"/>
    <x v="0"/>
    <n v="2"/>
    <n v="210"/>
    <x v="5"/>
    <x v="0"/>
    <b v="0"/>
    <b v="0"/>
  </r>
  <r>
    <n v="170"/>
    <x v="169"/>
    <x v="169"/>
    <x v="18"/>
    <x v="5"/>
    <x v="1"/>
    <x v="1"/>
    <x v="1"/>
    <x v="2"/>
    <n v="7"/>
    <n v="2100"/>
    <x v="6"/>
    <x v="1"/>
    <b v="0"/>
    <b v="0"/>
  </r>
  <r>
    <n v="171"/>
    <x v="170"/>
    <x v="170"/>
    <x v="19"/>
    <x v="5"/>
    <x v="2"/>
    <x v="2"/>
    <x v="1"/>
    <x v="3"/>
    <n v="6"/>
    <n v="1200"/>
    <x v="7"/>
    <x v="0"/>
    <b v="0"/>
    <b v="0"/>
  </r>
  <r>
    <n v="172"/>
    <x v="171"/>
    <x v="171"/>
    <x v="20"/>
    <x v="5"/>
    <x v="3"/>
    <x v="3"/>
    <x v="0"/>
    <x v="4"/>
    <n v="5"/>
    <n v="300"/>
    <x v="11"/>
    <x v="1"/>
    <b v="0"/>
    <b v="0"/>
  </r>
  <r>
    <n v="173"/>
    <x v="172"/>
    <x v="172"/>
    <x v="21"/>
    <x v="5"/>
    <x v="4"/>
    <x v="0"/>
    <x v="0"/>
    <x v="5"/>
    <n v="4"/>
    <n v="200"/>
    <x v="12"/>
    <x v="0"/>
    <b v="0"/>
    <b v="0"/>
  </r>
  <r>
    <n v="174"/>
    <x v="173"/>
    <x v="173"/>
    <x v="22"/>
    <x v="5"/>
    <x v="5"/>
    <x v="1"/>
    <x v="1"/>
    <x v="0"/>
    <n v="3"/>
    <n v="190"/>
    <x v="10"/>
    <x v="1"/>
    <b v="0"/>
    <b v="0"/>
  </r>
  <r>
    <n v="175"/>
    <x v="174"/>
    <x v="174"/>
    <x v="23"/>
    <x v="5"/>
    <x v="5"/>
    <x v="2"/>
    <x v="0"/>
    <x v="1"/>
    <n v="2"/>
    <n v="2100"/>
    <x v="13"/>
    <x v="0"/>
    <b v="0"/>
    <b v="0"/>
  </r>
  <r>
    <n v="176"/>
    <x v="175"/>
    <x v="175"/>
    <x v="24"/>
    <x v="5"/>
    <x v="0"/>
    <x v="3"/>
    <x v="0"/>
    <x v="0"/>
    <n v="7"/>
    <n v="210"/>
    <x v="0"/>
    <x v="1"/>
    <b v="0"/>
    <b v="0"/>
  </r>
  <r>
    <n v="177"/>
    <x v="176"/>
    <x v="176"/>
    <x v="25"/>
    <x v="5"/>
    <x v="1"/>
    <x v="0"/>
    <x v="0"/>
    <x v="0"/>
    <n v="3"/>
    <n v="190"/>
    <x v="10"/>
    <x v="0"/>
    <b v="0"/>
    <b v="0"/>
  </r>
  <r>
    <n v="178"/>
    <x v="177"/>
    <x v="177"/>
    <x v="26"/>
    <x v="5"/>
    <x v="2"/>
    <x v="1"/>
    <x v="0"/>
    <x v="0"/>
    <n v="3"/>
    <n v="190"/>
    <x v="10"/>
    <x v="1"/>
    <b v="0"/>
    <b v="0"/>
  </r>
  <r>
    <n v="179"/>
    <x v="178"/>
    <x v="178"/>
    <x v="27"/>
    <x v="5"/>
    <x v="3"/>
    <x v="2"/>
    <x v="0"/>
    <x v="0"/>
    <n v="3"/>
    <n v="190"/>
    <x v="10"/>
    <x v="0"/>
    <b v="0"/>
    <b v="0"/>
  </r>
  <r>
    <n v="180"/>
    <x v="179"/>
    <x v="179"/>
    <x v="28"/>
    <x v="5"/>
    <x v="4"/>
    <x v="3"/>
    <x v="0"/>
    <x v="0"/>
    <n v="3"/>
    <n v="190"/>
    <x v="10"/>
    <x v="1"/>
    <b v="0"/>
    <b v="0"/>
  </r>
  <r>
    <n v="181"/>
    <x v="180"/>
    <x v="180"/>
    <x v="29"/>
    <x v="5"/>
    <x v="5"/>
    <x v="0"/>
    <x v="0"/>
    <x v="0"/>
    <n v="3"/>
    <n v="190"/>
    <x v="10"/>
    <x v="0"/>
    <b v="0"/>
    <b v="0"/>
  </r>
  <r>
    <n v="182"/>
    <x v="181"/>
    <x v="181"/>
    <x v="0"/>
    <x v="6"/>
    <x v="0"/>
    <x v="1"/>
    <x v="0"/>
    <x v="0"/>
    <n v="3"/>
    <n v="190"/>
    <x v="10"/>
    <x v="1"/>
    <b v="0"/>
    <b v="0"/>
  </r>
  <r>
    <n v="183"/>
    <x v="182"/>
    <x v="182"/>
    <x v="1"/>
    <x v="6"/>
    <x v="1"/>
    <x v="2"/>
    <x v="1"/>
    <x v="0"/>
    <n v="3"/>
    <n v="190"/>
    <x v="10"/>
    <x v="0"/>
    <b v="0"/>
    <b v="0"/>
  </r>
  <r>
    <n v="184"/>
    <x v="183"/>
    <x v="183"/>
    <x v="2"/>
    <x v="6"/>
    <x v="2"/>
    <x v="3"/>
    <x v="0"/>
    <x v="2"/>
    <n v="5"/>
    <n v="1200"/>
    <x v="2"/>
    <x v="1"/>
    <b v="0"/>
    <b v="0"/>
  </r>
  <r>
    <n v="185"/>
    <x v="184"/>
    <x v="184"/>
    <x v="3"/>
    <x v="6"/>
    <x v="3"/>
    <x v="0"/>
    <x v="1"/>
    <x v="3"/>
    <n v="4"/>
    <n v="1500"/>
    <x v="2"/>
    <x v="0"/>
    <b v="0"/>
    <b v="0"/>
  </r>
  <r>
    <n v="186"/>
    <x v="185"/>
    <x v="185"/>
    <x v="4"/>
    <x v="6"/>
    <x v="4"/>
    <x v="1"/>
    <x v="0"/>
    <x v="4"/>
    <n v="3"/>
    <n v="300"/>
    <x v="3"/>
    <x v="1"/>
    <b v="0"/>
    <b v="0"/>
  </r>
  <r>
    <n v="187"/>
    <x v="186"/>
    <x v="186"/>
    <x v="5"/>
    <x v="6"/>
    <x v="5"/>
    <x v="2"/>
    <x v="0"/>
    <x v="5"/>
    <n v="2"/>
    <n v="190"/>
    <x v="4"/>
    <x v="0"/>
    <b v="0"/>
    <b v="0"/>
  </r>
  <r>
    <n v="188"/>
    <x v="187"/>
    <x v="187"/>
    <x v="6"/>
    <x v="6"/>
    <x v="5"/>
    <x v="3"/>
    <x v="0"/>
    <x v="0"/>
    <n v="2"/>
    <n v="210"/>
    <x v="5"/>
    <x v="1"/>
    <b v="0"/>
    <b v="0"/>
  </r>
  <r>
    <n v="189"/>
    <x v="188"/>
    <x v="188"/>
    <x v="7"/>
    <x v="6"/>
    <x v="0"/>
    <x v="0"/>
    <x v="0"/>
    <x v="1"/>
    <n v="7"/>
    <n v="2100"/>
    <x v="6"/>
    <x v="0"/>
    <b v="0"/>
    <b v="0"/>
  </r>
  <r>
    <n v="190"/>
    <x v="189"/>
    <x v="189"/>
    <x v="8"/>
    <x v="6"/>
    <x v="0"/>
    <x v="1"/>
    <x v="1"/>
    <x v="2"/>
    <n v="6"/>
    <n v="1200"/>
    <x v="7"/>
    <x v="1"/>
    <b v="0"/>
    <b v="0"/>
  </r>
  <r>
    <n v="191"/>
    <x v="190"/>
    <x v="190"/>
    <x v="9"/>
    <x v="6"/>
    <x v="0"/>
    <x v="2"/>
    <x v="2"/>
    <x v="3"/>
    <n v="5"/>
    <n v="1500"/>
    <x v="8"/>
    <x v="0"/>
    <b v="0"/>
    <b v="0"/>
  </r>
  <r>
    <n v="192"/>
    <x v="191"/>
    <x v="191"/>
    <x v="10"/>
    <x v="6"/>
    <x v="0"/>
    <x v="3"/>
    <x v="3"/>
    <x v="4"/>
    <n v="4"/>
    <n v="300"/>
    <x v="9"/>
    <x v="1"/>
    <b v="0"/>
    <b v="0"/>
  </r>
  <r>
    <n v="193"/>
    <x v="192"/>
    <x v="192"/>
    <x v="11"/>
    <x v="6"/>
    <x v="0"/>
    <x v="0"/>
    <x v="0"/>
    <x v="5"/>
    <n v="3"/>
    <n v="190"/>
    <x v="10"/>
    <x v="0"/>
    <b v="0"/>
    <b v="0"/>
  </r>
  <r>
    <n v="194"/>
    <x v="193"/>
    <x v="193"/>
    <x v="12"/>
    <x v="6"/>
    <x v="0"/>
    <x v="1"/>
    <x v="1"/>
    <x v="0"/>
    <n v="2"/>
    <n v="210"/>
    <x v="5"/>
    <x v="1"/>
    <b v="0"/>
    <b v="0"/>
  </r>
  <r>
    <n v="195"/>
    <x v="194"/>
    <x v="194"/>
    <x v="13"/>
    <x v="6"/>
    <x v="0"/>
    <x v="2"/>
    <x v="2"/>
    <x v="2"/>
    <n v="7"/>
    <n v="2100"/>
    <x v="6"/>
    <x v="0"/>
    <b v="0"/>
    <b v="0"/>
  </r>
  <r>
    <n v="196"/>
    <x v="195"/>
    <x v="195"/>
    <x v="14"/>
    <x v="6"/>
    <x v="0"/>
    <x v="3"/>
    <x v="3"/>
    <x v="3"/>
    <n v="6"/>
    <n v="1200"/>
    <x v="7"/>
    <x v="1"/>
    <b v="0"/>
    <b v="0"/>
  </r>
  <r>
    <n v="197"/>
    <x v="196"/>
    <x v="196"/>
    <x v="15"/>
    <x v="6"/>
    <x v="1"/>
    <x v="0"/>
    <x v="1"/>
    <x v="4"/>
    <n v="5"/>
    <n v="300"/>
    <x v="11"/>
    <x v="0"/>
    <b v="0"/>
    <b v="0"/>
  </r>
  <r>
    <n v="198"/>
    <x v="197"/>
    <x v="197"/>
    <x v="16"/>
    <x v="6"/>
    <x v="1"/>
    <x v="1"/>
    <x v="0"/>
    <x v="5"/>
    <n v="4"/>
    <n v="200"/>
    <x v="12"/>
    <x v="1"/>
    <b v="0"/>
    <b v="0"/>
  </r>
  <r>
    <n v="199"/>
    <x v="198"/>
    <x v="198"/>
    <x v="17"/>
    <x v="6"/>
    <x v="1"/>
    <x v="2"/>
    <x v="2"/>
    <x v="0"/>
    <n v="3"/>
    <n v="190"/>
    <x v="10"/>
    <x v="0"/>
    <b v="0"/>
    <b v="0"/>
  </r>
  <r>
    <n v="200"/>
    <x v="199"/>
    <x v="199"/>
    <x v="18"/>
    <x v="6"/>
    <x v="1"/>
    <x v="3"/>
    <x v="3"/>
    <x v="1"/>
    <n v="2"/>
    <n v="2100"/>
    <x v="13"/>
    <x v="1"/>
    <b v="0"/>
    <b v="0"/>
  </r>
  <r>
    <n v="201"/>
    <x v="200"/>
    <x v="200"/>
    <x v="19"/>
    <x v="6"/>
    <x v="1"/>
    <x v="0"/>
    <x v="1"/>
    <x v="0"/>
    <n v="7"/>
    <n v="210"/>
    <x v="0"/>
    <x v="0"/>
    <b v="0"/>
    <b v="0"/>
  </r>
  <r>
    <n v="202"/>
    <x v="201"/>
    <x v="201"/>
    <x v="20"/>
    <x v="6"/>
    <x v="1"/>
    <x v="1"/>
    <x v="0"/>
    <x v="1"/>
    <n v="6"/>
    <n v="2100"/>
    <x v="1"/>
    <x v="1"/>
    <b v="0"/>
    <b v="0"/>
  </r>
  <r>
    <n v="203"/>
    <x v="202"/>
    <x v="202"/>
    <x v="21"/>
    <x v="6"/>
    <x v="1"/>
    <x v="2"/>
    <x v="2"/>
    <x v="2"/>
    <n v="5"/>
    <n v="1200"/>
    <x v="2"/>
    <x v="0"/>
    <b v="0"/>
    <b v="0"/>
  </r>
  <r>
    <n v="204"/>
    <x v="203"/>
    <x v="203"/>
    <x v="22"/>
    <x v="6"/>
    <x v="1"/>
    <x v="3"/>
    <x v="3"/>
    <x v="3"/>
    <n v="4"/>
    <n v="1500"/>
    <x v="2"/>
    <x v="1"/>
    <b v="0"/>
    <b v="0"/>
  </r>
  <r>
    <n v="205"/>
    <x v="204"/>
    <x v="204"/>
    <x v="23"/>
    <x v="6"/>
    <x v="2"/>
    <x v="0"/>
    <x v="3"/>
    <x v="4"/>
    <n v="3"/>
    <n v="300"/>
    <x v="3"/>
    <x v="0"/>
    <b v="0"/>
    <b v="0"/>
  </r>
  <r>
    <n v="206"/>
    <x v="205"/>
    <x v="205"/>
    <x v="24"/>
    <x v="6"/>
    <x v="3"/>
    <x v="1"/>
    <x v="3"/>
    <x v="5"/>
    <n v="2"/>
    <n v="190"/>
    <x v="4"/>
    <x v="1"/>
    <b v="0"/>
    <b v="0"/>
  </r>
  <r>
    <n v="207"/>
    <x v="206"/>
    <x v="206"/>
    <x v="25"/>
    <x v="6"/>
    <x v="4"/>
    <x v="2"/>
    <x v="3"/>
    <x v="0"/>
    <n v="7"/>
    <n v="210"/>
    <x v="0"/>
    <x v="0"/>
    <b v="0"/>
    <b v="0"/>
  </r>
  <r>
    <n v="208"/>
    <x v="207"/>
    <x v="207"/>
    <x v="26"/>
    <x v="6"/>
    <x v="5"/>
    <x v="3"/>
    <x v="3"/>
    <x v="1"/>
    <n v="6"/>
    <n v="2100"/>
    <x v="1"/>
    <x v="1"/>
    <b v="0"/>
    <b v="0"/>
  </r>
  <r>
    <n v="209"/>
    <x v="208"/>
    <x v="208"/>
    <x v="27"/>
    <x v="6"/>
    <x v="5"/>
    <x v="0"/>
    <x v="0"/>
    <x v="2"/>
    <n v="5"/>
    <n v="1200"/>
    <x v="2"/>
    <x v="0"/>
    <b v="0"/>
    <b v="0"/>
  </r>
  <r>
    <n v="210"/>
    <x v="209"/>
    <x v="209"/>
    <x v="28"/>
    <x v="6"/>
    <x v="5"/>
    <x v="1"/>
    <x v="1"/>
    <x v="3"/>
    <n v="4"/>
    <n v="1500"/>
    <x v="2"/>
    <x v="1"/>
    <b v="0"/>
    <b v="0"/>
  </r>
  <r>
    <n v="211"/>
    <x v="210"/>
    <x v="210"/>
    <x v="29"/>
    <x v="6"/>
    <x v="5"/>
    <x v="2"/>
    <x v="2"/>
    <x v="4"/>
    <n v="3"/>
    <n v="300"/>
    <x v="3"/>
    <x v="0"/>
    <b v="0"/>
    <b v="0"/>
  </r>
  <r>
    <n v="212"/>
    <x v="211"/>
    <x v="211"/>
    <x v="30"/>
    <x v="6"/>
    <x v="5"/>
    <x v="3"/>
    <x v="3"/>
    <x v="5"/>
    <n v="2"/>
    <n v="190"/>
    <x v="4"/>
    <x v="1"/>
    <b v="0"/>
    <b v="0"/>
  </r>
  <r>
    <n v="213"/>
    <x v="212"/>
    <x v="212"/>
    <x v="0"/>
    <x v="7"/>
    <x v="5"/>
    <x v="0"/>
    <x v="0"/>
    <x v="0"/>
    <n v="2"/>
    <n v="210"/>
    <x v="5"/>
    <x v="0"/>
    <b v="0"/>
    <b v="0"/>
  </r>
  <r>
    <n v="214"/>
    <x v="213"/>
    <x v="213"/>
    <x v="1"/>
    <x v="7"/>
    <x v="5"/>
    <x v="1"/>
    <x v="1"/>
    <x v="1"/>
    <n v="7"/>
    <n v="2100"/>
    <x v="6"/>
    <x v="1"/>
    <b v="0"/>
    <b v="0"/>
  </r>
  <r>
    <n v="215"/>
    <x v="214"/>
    <x v="214"/>
    <x v="2"/>
    <x v="7"/>
    <x v="5"/>
    <x v="2"/>
    <x v="2"/>
    <x v="2"/>
    <n v="6"/>
    <n v="1200"/>
    <x v="7"/>
    <x v="0"/>
    <b v="0"/>
    <b v="0"/>
  </r>
  <r>
    <n v="216"/>
    <x v="215"/>
    <x v="215"/>
    <x v="3"/>
    <x v="7"/>
    <x v="5"/>
    <x v="3"/>
    <x v="3"/>
    <x v="3"/>
    <n v="5"/>
    <n v="1500"/>
    <x v="8"/>
    <x v="1"/>
    <b v="0"/>
    <b v="0"/>
  </r>
  <r>
    <n v="217"/>
    <x v="216"/>
    <x v="216"/>
    <x v="4"/>
    <x v="7"/>
    <x v="0"/>
    <x v="0"/>
    <x v="0"/>
    <x v="4"/>
    <n v="4"/>
    <n v="300"/>
    <x v="9"/>
    <x v="0"/>
    <b v="0"/>
    <b v="0"/>
  </r>
  <r>
    <n v="218"/>
    <x v="217"/>
    <x v="217"/>
    <x v="5"/>
    <x v="7"/>
    <x v="1"/>
    <x v="1"/>
    <x v="1"/>
    <x v="5"/>
    <n v="3"/>
    <n v="190"/>
    <x v="10"/>
    <x v="1"/>
    <b v="0"/>
    <b v="0"/>
  </r>
  <r>
    <n v="219"/>
    <x v="218"/>
    <x v="218"/>
    <x v="6"/>
    <x v="7"/>
    <x v="2"/>
    <x v="2"/>
    <x v="0"/>
    <x v="0"/>
    <n v="2"/>
    <n v="210"/>
    <x v="5"/>
    <x v="0"/>
    <b v="0"/>
    <b v="0"/>
  </r>
  <r>
    <n v="220"/>
    <x v="219"/>
    <x v="219"/>
    <x v="7"/>
    <x v="7"/>
    <x v="3"/>
    <x v="3"/>
    <x v="1"/>
    <x v="2"/>
    <n v="7"/>
    <n v="2100"/>
    <x v="6"/>
    <x v="1"/>
    <b v="0"/>
    <b v="0"/>
  </r>
  <r>
    <n v="221"/>
    <x v="220"/>
    <x v="220"/>
    <x v="8"/>
    <x v="7"/>
    <x v="4"/>
    <x v="0"/>
    <x v="0"/>
    <x v="3"/>
    <n v="6"/>
    <n v="1200"/>
    <x v="7"/>
    <x v="0"/>
    <b v="0"/>
    <b v="0"/>
  </r>
  <r>
    <n v="222"/>
    <x v="221"/>
    <x v="221"/>
    <x v="9"/>
    <x v="7"/>
    <x v="5"/>
    <x v="1"/>
    <x v="0"/>
    <x v="4"/>
    <n v="5"/>
    <n v="300"/>
    <x v="11"/>
    <x v="1"/>
    <b v="0"/>
    <b v="0"/>
  </r>
  <r>
    <n v="223"/>
    <x v="222"/>
    <x v="222"/>
    <x v="10"/>
    <x v="7"/>
    <x v="0"/>
    <x v="2"/>
    <x v="0"/>
    <x v="5"/>
    <n v="4"/>
    <n v="200"/>
    <x v="12"/>
    <x v="0"/>
    <b v="0"/>
    <b v="0"/>
  </r>
  <r>
    <n v="224"/>
    <x v="223"/>
    <x v="223"/>
    <x v="11"/>
    <x v="7"/>
    <x v="1"/>
    <x v="3"/>
    <x v="1"/>
    <x v="0"/>
    <n v="3"/>
    <n v="190"/>
    <x v="10"/>
    <x v="1"/>
    <b v="0"/>
    <b v="0"/>
  </r>
  <r>
    <n v="225"/>
    <x v="224"/>
    <x v="224"/>
    <x v="12"/>
    <x v="7"/>
    <x v="2"/>
    <x v="0"/>
    <x v="1"/>
    <x v="1"/>
    <n v="2"/>
    <n v="2100"/>
    <x v="13"/>
    <x v="0"/>
    <b v="0"/>
    <b v="0"/>
  </r>
  <r>
    <n v="226"/>
    <x v="225"/>
    <x v="225"/>
    <x v="13"/>
    <x v="7"/>
    <x v="3"/>
    <x v="1"/>
    <x v="0"/>
    <x v="0"/>
    <n v="7"/>
    <n v="210"/>
    <x v="0"/>
    <x v="1"/>
    <b v="0"/>
    <b v="0"/>
  </r>
  <r>
    <n v="227"/>
    <x v="226"/>
    <x v="226"/>
    <x v="14"/>
    <x v="7"/>
    <x v="4"/>
    <x v="2"/>
    <x v="0"/>
    <x v="1"/>
    <n v="6"/>
    <n v="2100"/>
    <x v="1"/>
    <x v="0"/>
    <b v="0"/>
    <b v="0"/>
  </r>
  <r>
    <n v="228"/>
    <x v="227"/>
    <x v="227"/>
    <x v="15"/>
    <x v="7"/>
    <x v="5"/>
    <x v="3"/>
    <x v="1"/>
    <x v="2"/>
    <n v="5"/>
    <n v="1200"/>
    <x v="2"/>
    <x v="1"/>
    <b v="0"/>
    <b v="0"/>
  </r>
  <r>
    <n v="229"/>
    <x v="228"/>
    <x v="228"/>
    <x v="16"/>
    <x v="7"/>
    <x v="5"/>
    <x v="0"/>
    <x v="0"/>
    <x v="3"/>
    <n v="4"/>
    <n v="1500"/>
    <x v="2"/>
    <x v="0"/>
    <b v="0"/>
    <b v="0"/>
  </r>
  <r>
    <n v="230"/>
    <x v="229"/>
    <x v="229"/>
    <x v="17"/>
    <x v="7"/>
    <x v="0"/>
    <x v="1"/>
    <x v="0"/>
    <x v="4"/>
    <n v="3"/>
    <n v="300"/>
    <x v="3"/>
    <x v="1"/>
    <b v="0"/>
    <b v="0"/>
  </r>
  <r>
    <n v="231"/>
    <x v="230"/>
    <x v="230"/>
    <x v="18"/>
    <x v="7"/>
    <x v="1"/>
    <x v="2"/>
    <x v="0"/>
    <x v="5"/>
    <n v="2"/>
    <n v="190"/>
    <x v="4"/>
    <x v="0"/>
    <b v="0"/>
    <b v="0"/>
  </r>
  <r>
    <n v="232"/>
    <x v="231"/>
    <x v="231"/>
    <x v="19"/>
    <x v="7"/>
    <x v="2"/>
    <x v="3"/>
    <x v="0"/>
    <x v="0"/>
    <n v="7"/>
    <n v="210"/>
    <x v="0"/>
    <x v="1"/>
    <b v="0"/>
    <b v="0"/>
  </r>
  <r>
    <n v="233"/>
    <x v="232"/>
    <x v="232"/>
    <x v="20"/>
    <x v="7"/>
    <x v="3"/>
    <x v="0"/>
    <x v="0"/>
    <x v="1"/>
    <n v="6"/>
    <n v="2100"/>
    <x v="1"/>
    <x v="0"/>
    <b v="0"/>
    <b v="0"/>
  </r>
  <r>
    <n v="234"/>
    <x v="233"/>
    <x v="233"/>
    <x v="21"/>
    <x v="7"/>
    <x v="4"/>
    <x v="1"/>
    <x v="0"/>
    <x v="1"/>
    <n v="7"/>
    <n v="2100"/>
    <x v="6"/>
    <x v="1"/>
    <b v="0"/>
    <b v="0"/>
  </r>
  <r>
    <n v="235"/>
    <x v="234"/>
    <x v="234"/>
    <x v="22"/>
    <x v="7"/>
    <x v="5"/>
    <x v="2"/>
    <x v="0"/>
    <x v="3"/>
    <n v="4"/>
    <n v="1500"/>
    <x v="2"/>
    <x v="0"/>
    <b v="0"/>
    <b v="0"/>
  </r>
  <r>
    <n v="236"/>
    <x v="235"/>
    <x v="235"/>
    <x v="23"/>
    <x v="7"/>
    <x v="0"/>
    <x v="3"/>
    <x v="0"/>
    <x v="4"/>
    <n v="3"/>
    <n v="300"/>
    <x v="3"/>
    <x v="1"/>
    <b v="0"/>
    <b v="0"/>
  </r>
  <r>
    <n v="237"/>
    <x v="236"/>
    <x v="236"/>
    <x v="24"/>
    <x v="7"/>
    <x v="1"/>
    <x v="0"/>
    <x v="1"/>
    <x v="5"/>
    <n v="2"/>
    <n v="190"/>
    <x v="4"/>
    <x v="0"/>
    <b v="0"/>
    <b v="0"/>
  </r>
  <r>
    <n v="238"/>
    <x v="237"/>
    <x v="237"/>
    <x v="25"/>
    <x v="7"/>
    <x v="2"/>
    <x v="1"/>
    <x v="0"/>
    <x v="0"/>
    <n v="2"/>
    <n v="210"/>
    <x v="5"/>
    <x v="1"/>
    <b v="0"/>
    <b v="0"/>
  </r>
  <r>
    <n v="239"/>
    <x v="238"/>
    <x v="238"/>
    <x v="26"/>
    <x v="7"/>
    <x v="3"/>
    <x v="2"/>
    <x v="1"/>
    <x v="1"/>
    <n v="7"/>
    <n v="2100"/>
    <x v="6"/>
    <x v="0"/>
    <b v="0"/>
    <b v="0"/>
  </r>
  <r>
    <n v="240"/>
    <x v="239"/>
    <x v="239"/>
    <x v="27"/>
    <x v="7"/>
    <x v="4"/>
    <x v="3"/>
    <x v="0"/>
    <x v="2"/>
    <n v="6"/>
    <n v="1200"/>
    <x v="7"/>
    <x v="1"/>
    <b v="0"/>
    <b v="0"/>
  </r>
  <r>
    <n v="241"/>
    <x v="240"/>
    <x v="240"/>
    <x v="28"/>
    <x v="7"/>
    <x v="5"/>
    <x v="0"/>
    <x v="0"/>
    <x v="3"/>
    <n v="5"/>
    <n v="1500"/>
    <x v="8"/>
    <x v="0"/>
    <b v="0"/>
    <b v="0"/>
  </r>
  <r>
    <n v="242"/>
    <x v="241"/>
    <x v="241"/>
    <x v="29"/>
    <x v="7"/>
    <x v="5"/>
    <x v="1"/>
    <x v="0"/>
    <x v="4"/>
    <n v="4"/>
    <n v="300"/>
    <x v="9"/>
    <x v="1"/>
    <b v="0"/>
    <b v="0"/>
  </r>
  <r>
    <n v="243"/>
    <x v="242"/>
    <x v="242"/>
    <x v="30"/>
    <x v="7"/>
    <x v="0"/>
    <x v="2"/>
    <x v="0"/>
    <x v="4"/>
    <n v="3"/>
    <n v="300"/>
    <x v="3"/>
    <x v="0"/>
    <b v="0"/>
    <b v="0"/>
  </r>
  <r>
    <n v="244"/>
    <x v="243"/>
    <x v="243"/>
    <x v="0"/>
    <x v="8"/>
    <x v="0"/>
    <x v="3"/>
    <x v="1"/>
    <x v="5"/>
    <n v="2"/>
    <n v="190"/>
    <x v="4"/>
    <x v="1"/>
    <b v="0"/>
    <b v="0"/>
  </r>
  <r>
    <n v="245"/>
    <x v="244"/>
    <x v="244"/>
    <x v="1"/>
    <x v="8"/>
    <x v="0"/>
    <x v="0"/>
    <x v="2"/>
    <x v="0"/>
    <n v="2"/>
    <n v="210"/>
    <x v="5"/>
    <x v="0"/>
    <b v="0"/>
    <b v="0"/>
  </r>
  <r>
    <n v="246"/>
    <x v="245"/>
    <x v="245"/>
    <x v="2"/>
    <x v="8"/>
    <x v="0"/>
    <x v="1"/>
    <x v="3"/>
    <x v="1"/>
    <n v="7"/>
    <n v="2100"/>
    <x v="6"/>
    <x v="1"/>
    <b v="0"/>
    <b v="0"/>
  </r>
  <r>
    <n v="247"/>
    <x v="246"/>
    <x v="246"/>
    <x v="3"/>
    <x v="8"/>
    <x v="0"/>
    <x v="2"/>
    <x v="0"/>
    <x v="2"/>
    <n v="6"/>
    <n v="1200"/>
    <x v="7"/>
    <x v="0"/>
    <b v="0"/>
    <b v="0"/>
  </r>
  <r>
    <n v="248"/>
    <x v="247"/>
    <x v="247"/>
    <x v="4"/>
    <x v="8"/>
    <x v="0"/>
    <x v="3"/>
    <x v="1"/>
    <x v="3"/>
    <n v="5"/>
    <n v="1500"/>
    <x v="8"/>
    <x v="1"/>
    <b v="0"/>
    <b v="0"/>
  </r>
  <r>
    <n v="249"/>
    <x v="248"/>
    <x v="248"/>
    <x v="5"/>
    <x v="8"/>
    <x v="0"/>
    <x v="0"/>
    <x v="2"/>
    <x v="4"/>
    <n v="4"/>
    <n v="300"/>
    <x v="9"/>
    <x v="0"/>
    <b v="0"/>
    <b v="0"/>
  </r>
  <r>
    <n v="250"/>
    <x v="249"/>
    <x v="249"/>
    <x v="6"/>
    <x v="8"/>
    <x v="0"/>
    <x v="1"/>
    <x v="3"/>
    <x v="4"/>
    <n v="3"/>
    <n v="300"/>
    <x v="3"/>
    <x v="1"/>
    <b v="0"/>
    <b v="0"/>
  </r>
  <r>
    <n v="251"/>
    <x v="250"/>
    <x v="250"/>
    <x v="7"/>
    <x v="8"/>
    <x v="1"/>
    <x v="2"/>
    <x v="1"/>
    <x v="5"/>
    <n v="2"/>
    <n v="190"/>
    <x v="4"/>
    <x v="0"/>
    <b v="0"/>
    <b v="0"/>
  </r>
  <r>
    <n v="252"/>
    <x v="251"/>
    <x v="251"/>
    <x v="8"/>
    <x v="8"/>
    <x v="1"/>
    <x v="3"/>
    <x v="0"/>
    <x v="0"/>
    <n v="2"/>
    <n v="210"/>
    <x v="5"/>
    <x v="1"/>
    <b v="0"/>
    <b v="0"/>
  </r>
  <r>
    <n v="253"/>
    <x v="252"/>
    <x v="252"/>
    <x v="9"/>
    <x v="8"/>
    <x v="1"/>
    <x v="0"/>
    <x v="2"/>
    <x v="1"/>
    <n v="7"/>
    <n v="2100"/>
    <x v="6"/>
    <x v="0"/>
    <b v="0"/>
    <b v="0"/>
  </r>
  <r>
    <n v="254"/>
    <x v="253"/>
    <x v="253"/>
    <x v="10"/>
    <x v="8"/>
    <x v="1"/>
    <x v="1"/>
    <x v="3"/>
    <x v="2"/>
    <n v="6"/>
    <n v="1200"/>
    <x v="7"/>
    <x v="1"/>
    <b v="0"/>
    <b v="0"/>
  </r>
  <r>
    <n v="255"/>
    <x v="254"/>
    <x v="254"/>
    <x v="11"/>
    <x v="8"/>
    <x v="1"/>
    <x v="2"/>
    <x v="1"/>
    <x v="3"/>
    <n v="5"/>
    <n v="1500"/>
    <x v="8"/>
    <x v="0"/>
    <b v="0"/>
    <b v="0"/>
  </r>
  <r>
    <n v="256"/>
    <x v="255"/>
    <x v="255"/>
    <x v="12"/>
    <x v="8"/>
    <x v="1"/>
    <x v="3"/>
    <x v="0"/>
    <x v="4"/>
    <n v="4"/>
    <n v="300"/>
    <x v="9"/>
    <x v="1"/>
    <b v="0"/>
    <b v="0"/>
  </r>
  <r>
    <n v="257"/>
    <x v="256"/>
    <x v="256"/>
    <x v="13"/>
    <x v="8"/>
    <x v="1"/>
    <x v="0"/>
    <x v="2"/>
    <x v="0"/>
    <n v="7"/>
    <n v="210"/>
    <x v="0"/>
    <x v="0"/>
    <b v="0"/>
    <b v="0"/>
  </r>
  <r>
    <n v="258"/>
    <x v="257"/>
    <x v="257"/>
    <x v="14"/>
    <x v="8"/>
    <x v="1"/>
    <x v="1"/>
    <x v="3"/>
    <x v="1"/>
    <n v="6"/>
    <n v="2100"/>
    <x v="1"/>
    <x v="1"/>
    <b v="0"/>
    <b v="0"/>
  </r>
  <r>
    <n v="259"/>
    <x v="258"/>
    <x v="258"/>
    <x v="15"/>
    <x v="8"/>
    <x v="2"/>
    <x v="2"/>
    <x v="3"/>
    <x v="2"/>
    <n v="5"/>
    <n v="1200"/>
    <x v="2"/>
    <x v="0"/>
    <b v="0"/>
    <b v="0"/>
  </r>
  <r>
    <n v="260"/>
    <x v="259"/>
    <x v="259"/>
    <x v="16"/>
    <x v="8"/>
    <x v="3"/>
    <x v="3"/>
    <x v="3"/>
    <x v="3"/>
    <n v="4"/>
    <n v="1500"/>
    <x v="2"/>
    <x v="1"/>
    <b v="0"/>
    <b v="0"/>
  </r>
  <r>
    <n v="261"/>
    <x v="260"/>
    <x v="260"/>
    <x v="17"/>
    <x v="8"/>
    <x v="4"/>
    <x v="0"/>
    <x v="3"/>
    <x v="4"/>
    <n v="3"/>
    <n v="300"/>
    <x v="3"/>
    <x v="0"/>
    <b v="0"/>
    <b v="0"/>
  </r>
  <r>
    <n v="262"/>
    <x v="261"/>
    <x v="261"/>
    <x v="18"/>
    <x v="8"/>
    <x v="5"/>
    <x v="1"/>
    <x v="3"/>
    <x v="5"/>
    <n v="2"/>
    <n v="190"/>
    <x v="4"/>
    <x v="1"/>
    <b v="0"/>
    <b v="0"/>
  </r>
  <r>
    <n v="263"/>
    <x v="262"/>
    <x v="262"/>
    <x v="19"/>
    <x v="8"/>
    <x v="5"/>
    <x v="2"/>
    <x v="0"/>
    <x v="0"/>
    <n v="2"/>
    <n v="210"/>
    <x v="5"/>
    <x v="0"/>
    <b v="0"/>
    <b v="0"/>
  </r>
  <r>
    <n v="264"/>
    <x v="263"/>
    <x v="263"/>
    <x v="20"/>
    <x v="8"/>
    <x v="5"/>
    <x v="3"/>
    <x v="1"/>
    <x v="1"/>
    <n v="7"/>
    <n v="2100"/>
    <x v="6"/>
    <x v="1"/>
    <b v="0"/>
    <b v="0"/>
  </r>
  <r>
    <n v="265"/>
    <x v="264"/>
    <x v="264"/>
    <x v="21"/>
    <x v="8"/>
    <x v="5"/>
    <x v="0"/>
    <x v="2"/>
    <x v="2"/>
    <n v="6"/>
    <n v="1200"/>
    <x v="7"/>
    <x v="0"/>
    <b v="0"/>
    <b v="0"/>
  </r>
  <r>
    <n v="266"/>
    <x v="265"/>
    <x v="265"/>
    <x v="22"/>
    <x v="8"/>
    <x v="5"/>
    <x v="1"/>
    <x v="3"/>
    <x v="3"/>
    <n v="5"/>
    <n v="1500"/>
    <x v="8"/>
    <x v="1"/>
    <b v="0"/>
    <b v="0"/>
  </r>
  <r>
    <n v="267"/>
    <x v="266"/>
    <x v="266"/>
    <x v="23"/>
    <x v="8"/>
    <x v="5"/>
    <x v="2"/>
    <x v="0"/>
    <x v="1"/>
    <n v="7"/>
    <n v="2100"/>
    <x v="6"/>
    <x v="0"/>
    <b v="0"/>
    <b v="0"/>
  </r>
  <r>
    <n v="268"/>
    <x v="267"/>
    <x v="267"/>
    <x v="24"/>
    <x v="8"/>
    <x v="5"/>
    <x v="3"/>
    <x v="1"/>
    <x v="1"/>
    <n v="7"/>
    <n v="2100"/>
    <x v="6"/>
    <x v="1"/>
    <b v="0"/>
    <b v="0"/>
  </r>
  <r>
    <n v="269"/>
    <x v="268"/>
    <x v="268"/>
    <x v="25"/>
    <x v="8"/>
    <x v="5"/>
    <x v="0"/>
    <x v="2"/>
    <x v="1"/>
    <n v="7"/>
    <n v="2100"/>
    <x v="6"/>
    <x v="0"/>
    <b v="0"/>
    <b v="0"/>
  </r>
  <r>
    <n v="270"/>
    <x v="269"/>
    <x v="269"/>
    <x v="26"/>
    <x v="8"/>
    <x v="5"/>
    <x v="1"/>
    <x v="3"/>
    <x v="1"/>
    <n v="7"/>
    <n v="2100"/>
    <x v="6"/>
    <x v="1"/>
    <b v="0"/>
    <b v="0"/>
  </r>
  <r>
    <n v="271"/>
    <x v="270"/>
    <x v="270"/>
    <x v="27"/>
    <x v="8"/>
    <x v="0"/>
    <x v="2"/>
    <x v="0"/>
    <x v="1"/>
    <n v="7"/>
    <n v="2100"/>
    <x v="6"/>
    <x v="0"/>
    <b v="0"/>
    <b v="0"/>
  </r>
  <r>
    <n v="272"/>
    <x v="271"/>
    <x v="271"/>
    <x v="28"/>
    <x v="8"/>
    <x v="1"/>
    <x v="3"/>
    <x v="1"/>
    <x v="1"/>
    <n v="7"/>
    <n v="2100"/>
    <x v="6"/>
    <x v="1"/>
    <b v="0"/>
    <b v="0"/>
  </r>
  <r>
    <n v="273"/>
    <x v="272"/>
    <x v="272"/>
    <x v="29"/>
    <x v="8"/>
    <x v="2"/>
    <x v="0"/>
    <x v="0"/>
    <x v="1"/>
    <n v="7"/>
    <n v="2100"/>
    <x v="6"/>
    <x v="0"/>
    <b v="0"/>
    <b v="0"/>
  </r>
  <r>
    <n v="274"/>
    <x v="273"/>
    <x v="273"/>
    <x v="0"/>
    <x v="9"/>
    <x v="3"/>
    <x v="1"/>
    <x v="1"/>
    <x v="1"/>
    <n v="7"/>
    <n v="2100"/>
    <x v="6"/>
    <x v="1"/>
    <b v="0"/>
    <b v="0"/>
  </r>
  <r>
    <n v="275"/>
    <x v="274"/>
    <x v="274"/>
    <x v="1"/>
    <x v="9"/>
    <x v="4"/>
    <x v="2"/>
    <x v="0"/>
    <x v="1"/>
    <n v="7"/>
    <n v="2100"/>
    <x v="6"/>
    <x v="0"/>
    <b v="0"/>
    <b v="0"/>
  </r>
  <r>
    <n v="276"/>
    <x v="275"/>
    <x v="275"/>
    <x v="2"/>
    <x v="9"/>
    <x v="5"/>
    <x v="3"/>
    <x v="0"/>
    <x v="1"/>
    <n v="7"/>
    <n v="2100"/>
    <x v="6"/>
    <x v="1"/>
    <b v="0"/>
    <b v="0"/>
  </r>
  <r>
    <n v="277"/>
    <x v="276"/>
    <x v="276"/>
    <x v="3"/>
    <x v="9"/>
    <x v="0"/>
    <x v="0"/>
    <x v="0"/>
    <x v="1"/>
    <n v="7"/>
    <n v="2100"/>
    <x v="6"/>
    <x v="0"/>
    <b v="0"/>
    <b v="0"/>
  </r>
  <r>
    <n v="278"/>
    <x v="277"/>
    <x v="277"/>
    <x v="4"/>
    <x v="9"/>
    <x v="1"/>
    <x v="1"/>
    <x v="1"/>
    <x v="2"/>
    <n v="5"/>
    <n v="1200"/>
    <x v="2"/>
    <x v="1"/>
    <b v="0"/>
    <b v="0"/>
  </r>
  <r>
    <n v="279"/>
    <x v="278"/>
    <x v="278"/>
    <x v="5"/>
    <x v="9"/>
    <x v="2"/>
    <x v="2"/>
    <x v="1"/>
    <x v="3"/>
    <n v="4"/>
    <n v="1500"/>
    <x v="2"/>
    <x v="0"/>
    <b v="0"/>
    <b v="0"/>
  </r>
  <r>
    <n v="280"/>
    <x v="279"/>
    <x v="279"/>
    <x v="6"/>
    <x v="9"/>
    <x v="3"/>
    <x v="3"/>
    <x v="0"/>
    <x v="4"/>
    <n v="3"/>
    <n v="300"/>
    <x v="3"/>
    <x v="1"/>
    <b v="0"/>
    <b v="0"/>
  </r>
  <r>
    <n v="281"/>
    <x v="280"/>
    <x v="280"/>
    <x v="7"/>
    <x v="9"/>
    <x v="4"/>
    <x v="0"/>
    <x v="0"/>
    <x v="5"/>
    <n v="2"/>
    <n v="190"/>
    <x v="4"/>
    <x v="0"/>
    <b v="0"/>
    <b v="0"/>
  </r>
  <r>
    <n v="282"/>
    <x v="281"/>
    <x v="281"/>
    <x v="8"/>
    <x v="9"/>
    <x v="5"/>
    <x v="1"/>
    <x v="1"/>
    <x v="0"/>
    <n v="7"/>
    <n v="210"/>
    <x v="0"/>
    <x v="1"/>
    <b v="0"/>
    <b v="0"/>
  </r>
  <r>
    <n v="283"/>
    <x v="282"/>
    <x v="282"/>
    <x v="9"/>
    <x v="9"/>
    <x v="5"/>
    <x v="2"/>
    <x v="0"/>
    <x v="1"/>
    <n v="6"/>
    <n v="2100"/>
    <x v="1"/>
    <x v="0"/>
    <b v="0"/>
    <b v="0"/>
  </r>
  <r>
    <n v="284"/>
    <x v="283"/>
    <x v="283"/>
    <x v="10"/>
    <x v="9"/>
    <x v="0"/>
    <x v="3"/>
    <x v="0"/>
    <x v="2"/>
    <n v="5"/>
    <n v="1200"/>
    <x v="2"/>
    <x v="1"/>
    <b v="0"/>
    <b v="0"/>
  </r>
  <r>
    <n v="285"/>
    <x v="284"/>
    <x v="284"/>
    <x v="11"/>
    <x v="9"/>
    <x v="1"/>
    <x v="0"/>
    <x v="0"/>
    <x v="3"/>
    <n v="4"/>
    <n v="1500"/>
    <x v="2"/>
    <x v="0"/>
    <b v="0"/>
    <b v="0"/>
  </r>
  <r>
    <n v="286"/>
    <x v="285"/>
    <x v="285"/>
    <x v="12"/>
    <x v="9"/>
    <x v="2"/>
    <x v="1"/>
    <x v="0"/>
    <x v="4"/>
    <n v="3"/>
    <n v="300"/>
    <x v="3"/>
    <x v="1"/>
    <b v="0"/>
    <b v="0"/>
  </r>
  <r>
    <n v="287"/>
    <x v="286"/>
    <x v="286"/>
    <x v="13"/>
    <x v="9"/>
    <x v="3"/>
    <x v="2"/>
    <x v="0"/>
    <x v="5"/>
    <n v="2"/>
    <n v="190"/>
    <x v="4"/>
    <x v="0"/>
    <b v="0"/>
    <b v="0"/>
  </r>
  <r>
    <n v="288"/>
    <x v="287"/>
    <x v="287"/>
    <x v="14"/>
    <x v="9"/>
    <x v="4"/>
    <x v="3"/>
    <x v="0"/>
    <x v="0"/>
    <n v="2"/>
    <n v="210"/>
    <x v="5"/>
    <x v="1"/>
    <b v="0"/>
    <b v="0"/>
  </r>
  <r>
    <n v="289"/>
    <x v="288"/>
    <x v="288"/>
    <x v="15"/>
    <x v="9"/>
    <x v="5"/>
    <x v="0"/>
    <x v="0"/>
    <x v="1"/>
    <n v="7"/>
    <n v="2100"/>
    <x v="6"/>
    <x v="0"/>
    <b v="0"/>
    <b v="0"/>
  </r>
  <r>
    <n v="290"/>
    <x v="289"/>
    <x v="289"/>
    <x v="16"/>
    <x v="9"/>
    <x v="0"/>
    <x v="1"/>
    <x v="0"/>
    <x v="2"/>
    <n v="6"/>
    <n v="1200"/>
    <x v="7"/>
    <x v="1"/>
    <b v="0"/>
    <b v="0"/>
  </r>
  <r>
    <n v="291"/>
    <x v="290"/>
    <x v="290"/>
    <x v="17"/>
    <x v="9"/>
    <x v="1"/>
    <x v="2"/>
    <x v="1"/>
    <x v="3"/>
    <n v="5"/>
    <n v="1500"/>
    <x v="8"/>
    <x v="0"/>
    <b v="0"/>
    <b v="0"/>
  </r>
  <r>
    <n v="292"/>
    <x v="291"/>
    <x v="291"/>
    <x v="18"/>
    <x v="9"/>
    <x v="2"/>
    <x v="3"/>
    <x v="0"/>
    <x v="4"/>
    <n v="4"/>
    <n v="300"/>
    <x v="9"/>
    <x v="1"/>
    <b v="0"/>
    <b v="0"/>
  </r>
  <r>
    <n v="293"/>
    <x v="292"/>
    <x v="292"/>
    <x v="19"/>
    <x v="9"/>
    <x v="3"/>
    <x v="0"/>
    <x v="1"/>
    <x v="3"/>
    <n v="5"/>
    <n v="1500"/>
    <x v="8"/>
    <x v="0"/>
    <b v="0"/>
    <b v="0"/>
  </r>
  <r>
    <n v="294"/>
    <x v="293"/>
    <x v="293"/>
    <x v="20"/>
    <x v="9"/>
    <x v="4"/>
    <x v="1"/>
    <x v="0"/>
    <x v="4"/>
    <n v="4"/>
    <n v="300"/>
    <x v="9"/>
    <x v="1"/>
    <b v="0"/>
    <b v="0"/>
  </r>
  <r>
    <n v="295"/>
    <x v="294"/>
    <x v="294"/>
    <x v="21"/>
    <x v="9"/>
    <x v="5"/>
    <x v="2"/>
    <x v="0"/>
    <x v="3"/>
    <n v="5"/>
    <n v="1500"/>
    <x v="8"/>
    <x v="0"/>
    <b v="0"/>
    <b v="0"/>
  </r>
  <r>
    <n v="296"/>
    <x v="295"/>
    <x v="295"/>
    <x v="22"/>
    <x v="9"/>
    <x v="5"/>
    <x v="3"/>
    <x v="0"/>
    <x v="4"/>
    <n v="4"/>
    <n v="300"/>
    <x v="9"/>
    <x v="1"/>
    <b v="0"/>
    <b v="0"/>
  </r>
  <r>
    <n v="297"/>
    <x v="296"/>
    <x v="296"/>
    <x v="23"/>
    <x v="9"/>
    <x v="0"/>
    <x v="0"/>
    <x v="0"/>
    <x v="3"/>
    <n v="5"/>
    <n v="1500"/>
    <x v="8"/>
    <x v="0"/>
    <b v="0"/>
    <b v="0"/>
  </r>
  <r>
    <n v="298"/>
    <x v="297"/>
    <x v="297"/>
    <x v="24"/>
    <x v="9"/>
    <x v="0"/>
    <x v="1"/>
    <x v="1"/>
    <x v="4"/>
    <n v="4"/>
    <n v="300"/>
    <x v="9"/>
    <x v="1"/>
    <b v="0"/>
    <b v="0"/>
  </r>
  <r>
    <n v="299"/>
    <x v="298"/>
    <x v="298"/>
    <x v="25"/>
    <x v="9"/>
    <x v="0"/>
    <x v="2"/>
    <x v="2"/>
    <x v="3"/>
    <n v="5"/>
    <n v="1500"/>
    <x v="8"/>
    <x v="0"/>
    <b v="0"/>
    <b v="0"/>
  </r>
  <r>
    <n v="300"/>
    <x v="299"/>
    <x v="299"/>
    <x v="26"/>
    <x v="9"/>
    <x v="0"/>
    <x v="3"/>
    <x v="3"/>
    <x v="4"/>
    <n v="4"/>
    <n v="300"/>
    <x v="9"/>
    <x v="1"/>
    <b v="0"/>
    <b v="0"/>
  </r>
  <r>
    <n v="301"/>
    <x v="300"/>
    <x v="300"/>
    <x v="27"/>
    <x v="9"/>
    <x v="0"/>
    <x v="0"/>
    <x v="0"/>
    <x v="3"/>
    <n v="5"/>
    <n v="1500"/>
    <x v="8"/>
    <x v="0"/>
    <b v="0"/>
    <b v="0"/>
  </r>
  <r>
    <n v="302"/>
    <x v="301"/>
    <x v="301"/>
    <x v="28"/>
    <x v="9"/>
    <x v="0"/>
    <x v="1"/>
    <x v="1"/>
    <x v="1"/>
    <n v="6"/>
    <n v="2100"/>
    <x v="1"/>
    <x v="1"/>
    <b v="0"/>
    <b v="0"/>
  </r>
  <r>
    <n v="303"/>
    <x v="302"/>
    <x v="302"/>
    <x v="29"/>
    <x v="9"/>
    <x v="0"/>
    <x v="2"/>
    <x v="2"/>
    <x v="2"/>
    <n v="5"/>
    <n v="1200"/>
    <x v="2"/>
    <x v="0"/>
    <b v="0"/>
    <b v="0"/>
  </r>
  <r>
    <n v="304"/>
    <x v="303"/>
    <x v="303"/>
    <x v="30"/>
    <x v="9"/>
    <x v="0"/>
    <x v="3"/>
    <x v="3"/>
    <x v="3"/>
    <n v="4"/>
    <n v="1500"/>
    <x v="2"/>
    <x v="1"/>
    <b v="0"/>
    <b v="0"/>
  </r>
  <r>
    <n v="305"/>
    <x v="304"/>
    <x v="304"/>
    <x v="0"/>
    <x v="10"/>
    <x v="1"/>
    <x v="0"/>
    <x v="1"/>
    <x v="4"/>
    <n v="3"/>
    <n v="300"/>
    <x v="3"/>
    <x v="0"/>
    <b v="0"/>
    <b v="0"/>
  </r>
  <r>
    <n v="306"/>
    <x v="305"/>
    <x v="305"/>
    <x v="1"/>
    <x v="10"/>
    <x v="1"/>
    <x v="1"/>
    <x v="0"/>
    <x v="5"/>
    <n v="2"/>
    <n v="190"/>
    <x v="4"/>
    <x v="1"/>
    <b v="0"/>
    <b v="0"/>
  </r>
  <r>
    <n v="307"/>
    <x v="306"/>
    <x v="306"/>
    <x v="2"/>
    <x v="10"/>
    <x v="1"/>
    <x v="2"/>
    <x v="2"/>
    <x v="5"/>
    <n v="2"/>
    <n v="190"/>
    <x v="4"/>
    <x v="0"/>
    <b v="0"/>
    <b v="0"/>
  </r>
  <r>
    <n v="308"/>
    <x v="307"/>
    <x v="307"/>
    <x v="3"/>
    <x v="10"/>
    <x v="1"/>
    <x v="3"/>
    <x v="3"/>
    <x v="5"/>
    <n v="2"/>
    <n v="190"/>
    <x v="4"/>
    <x v="1"/>
    <b v="0"/>
    <b v="0"/>
  </r>
  <r>
    <n v="309"/>
    <x v="308"/>
    <x v="308"/>
    <x v="4"/>
    <x v="10"/>
    <x v="1"/>
    <x v="0"/>
    <x v="1"/>
    <x v="5"/>
    <n v="2"/>
    <n v="190"/>
    <x v="4"/>
    <x v="0"/>
    <b v="0"/>
    <b v="0"/>
  </r>
  <r>
    <n v="310"/>
    <x v="309"/>
    <x v="309"/>
    <x v="5"/>
    <x v="10"/>
    <x v="1"/>
    <x v="1"/>
    <x v="0"/>
    <x v="5"/>
    <n v="2"/>
    <n v="190"/>
    <x v="4"/>
    <x v="1"/>
    <b v="0"/>
    <b v="0"/>
  </r>
  <r>
    <n v="311"/>
    <x v="310"/>
    <x v="310"/>
    <x v="6"/>
    <x v="10"/>
    <x v="1"/>
    <x v="2"/>
    <x v="2"/>
    <x v="5"/>
    <n v="2"/>
    <n v="190"/>
    <x v="4"/>
    <x v="0"/>
    <b v="0"/>
    <b v="0"/>
  </r>
  <r>
    <n v="312"/>
    <x v="311"/>
    <x v="311"/>
    <x v="7"/>
    <x v="10"/>
    <x v="1"/>
    <x v="3"/>
    <x v="3"/>
    <x v="5"/>
    <n v="2"/>
    <n v="190"/>
    <x v="4"/>
    <x v="1"/>
    <b v="0"/>
    <b v="0"/>
  </r>
  <r>
    <n v="313"/>
    <x v="312"/>
    <x v="312"/>
    <x v="8"/>
    <x v="10"/>
    <x v="2"/>
    <x v="0"/>
    <x v="3"/>
    <x v="5"/>
    <n v="2"/>
    <n v="190"/>
    <x v="4"/>
    <x v="0"/>
    <b v="0"/>
    <b v="0"/>
  </r>
  <r>
    <n v="314"/>
    <x v="313"/>
    <x v="313"/>
    <x v="9"/>
    <x v="10"/>
    <x v="3"/>
    <x v="1"/>
    <x v="3"/>
    <x v="5"/>
    <n v="2"/>
    <n v="190"/>
    <x v="4"/>
    <x v="1"/>
    <b v="0"/>
    <b v="0"/>
  </r>
  <r>
    <n v="315"/>
    <x v="314"/>
    <x v="314"/>
    <x v="10"/>
    <x v="10"/>
    <x v="4"/>
    <x v="2"/>
    <x v="3"/>
    <x v="5"/>
    <n v="2"/>
    <n v="190"/>
    <x v="4"/>
    <x v="0"/>
    <b v="0"/>
    <b v="0"/>
  </r>
  <r>
    <n v="316"/>
    <x v="315"/>
    <x v="315"/>
    <x v="11"/>
    <x v="10"/>
    <x v="5"/>
    <x v="3"/>
    <x v="3"/>
    <x v="5"/>
    <n v="2"/>
    <n v="190"/>
    <x v="4"/>
    <x v="1"/>
    <b v="0"/>
    <b v="0"/>
  </r>
  <r>
    <n v="317"/>
    <x v="316"/>
    <x v="316"/>
    <x v="12"/>
    <x v="10"/>
    <x v="5"/>
    <x v="0"/>
    <x v="0"/>
    <x v="5"/>
    <n v="2"/>
    <n v="190"/>
    <x v="4"/>
    <x v="0"/>
    <b v="0"/>
    <b v="0"/>
  </r>
  <r>
    <n v="318"/>
    <x v="317"/>
    <x v="317"/>
    <x v="13"/>
    <x v="10"/>
    <x v="5"/>
    <x v="1"/>
    <x v="1"/>
    <x v="5"/>
    <n v="3"/>
    <n v="190"/>
    <x v="10"/>
    <x v="1"/>
    <b v="0"/>
    <b v="0"/>
  </r>
  <r>
    <n v="319"/>
    <x v="318"/>
    <x v="318"/>
    <x v="14"/>
    <x v="10"/>
    <x v="5"/>
    <x v="2"/>
    <x v="2"/>
    <x v="0"/>
    <n v="2"/>
    <n v="210"/>
    <x v="5"/>
    <x v="0"/>
    <b v="0"/>
    <b v="0"/>
  </r>
  <r>
    <n v="320"/>
    <x v="319"/>
    <x v="319"/>
    <x v="15"/>
    <x v="10"/>
    <x v="5"/>
    <x v="3"/>
    <x v="3"/>
    <x v="0"/>
    <n v="2"/>
    <n v="210"/>
    <x v="5"/>
    <x v="1"/>
    <b v="0"/>
    <b v="0"/>
  </r>
  <r>
    <n v="321"/>
    <x v="320"/>
    <x v="320"/>
    <x v="16"/>
    <x v="10"/>
    <x v="5"/>
    <x v="0"/>
    <x v="0"/>
    <x v="0"/>
    <n v="2"/>
    <n v="210"/>
    <x v="5"/>
    <x v="0"/>
    <b v="0"/>
    <b v="0"/>
  </r>
  <r>
    <n v="322"/>
    <x v="321"/>
    <x v="321"/>
    <x v="17"/>
    <x v="10"/>
    <x v="5"/>
    <x v="1"/>
    <x v="1"/>
    <x v="0"/>
    <n v="2"/>
    <n v="210"/>
    <x v="5"/>
    <x v="1"/>
    <b v="0"/>
    <b v="0"/>
  </r>
  <r>
    <n v="323"/>
    <x v="322"/>
    <x v="322"/>
    <x v="18"/>
    <x v="10"/>
    <x v="5"/>
    <x v="2"/>
    <x v="2"/>
    <x v="0"/>
    <n v="2"/>
    <n v="210"/>
    <x v="5"/>
    <x v="0"/>
    <b v="0"/>
    <b v="0"/>
  </r>
  <r>
    <n v="324"/>
    <x v="323"/>
    <x v="323"/>
    <x v="19"/>
    <x v="10"/>
    <x v="5"/>
    <x v="3"/>
    <x v="3"/>
    <x v="0"/>
    <n v="2"/>
    <n v="210"/>
    <x v="5"/>
    <x v="1"/>
    <b v="0"/>
    <b v="0"/>
  </r>
  <r>
    <n v="325"/>
    <x v="324"/>
    <x v="324"/>
    <x v="20"/>
    <x v="10"/>
    <x v="0"/>
    <x v="0"/>
    <x v="0"/>
    <x v="0"/>
    <n v="2"/>
    <n v="210"/>
    <x v="5"/>
    <x v="0"/>
    <b v="0"/>
    <b v="0"/>
  </r>
  <r>
    <n v="326"/>
    <x v="325"/>
    <x v="325"/>
    <x v="21"/>
    <x v="10"/>
    <x v="1"/>
    <x v="1"/>
    <x v="1"/>
    <x v="0"/>
    <n v="2"/>
    <n v="210"/>
    <x v="5"/>
    <x v="1"/>
    <b v="0"/>
    <b v="0"/>
  </r>
  <r>
    <n v="327"/>
    <x v="326"/>
    <x v="326"/>
    <x v="22"/>
    <x v="10"/>
    <x v="2"/>
    <x v="2"/>
    <x v="0"/>
    <x v="0"/>
    <n v="2"/>
    <n v="210"/>
    <x v="5"/>
    <x v="0"/>
    <b v="0"/>
    <b v="0"/>
  </r>
  <r>
    <n v="328"/>
    <x v="327"/>
    <x v="327"/>
    <x v="23"/>
    <x v="10"/>
    <x v="3"/>
    <x v="3"/>
    <x v="1"/>
    <x v="0"/>
    <n v="2"/>
    <n v="210"/>
    <x v="5"/>
    <x v="1"/>
    <b v="0"/>
    <b v="0"/>
  </r>
  <r>
    <n v="329"/>
    <x v="328"/>
    <x v="328"/>
    <x v="24"/>
    <x v="10"/>
    <x v="4"/>
    <x v="0"/>
    <x v="0"/>
    <x v="0"/>
    <n v="2"/>
    <n v="210"/>
    <x v="5"/>
    <x v="0"/>
    <b v="0"/>
    <b v="0"/>
  </r>
  <r>
    <n v="330"/>
    <x v="329"/>
    <x v="329"/>
    <x v="25"/>
    <x v="10"/>
    <x v="5"/>
    <x v="1"/>
    <x v="0"/>
    <x v="0"/>
    <n v="2"/>
    <n v="210"/>
    <x v="5"/>
    <x v="1"/>
    <b v="0"/>
    <b v="0"/>
  </r>
  <r>
    <n v="331"/>
    <x v="330"/>
    <x v="330"/>
    <x v="26"/>
    <x v="10"/>
    <x v="0"/>
    <x v="2"/>
    <x v="0"/>
    <x v="5"/>
    <n v="2"/>
    <n v="190"/>
    <x v="4"/>
    <x v="0"/>
    <b v="0"/>
    <b v="0"/>
  </r>
  <r>
    <n v="332"/>
    <x v="331"/>
    <x v="331"/>
    <x v="27"/>
    <x v="10"/>
    <x v="1"/>
    <x v="3"/>
    <x v="1"/>
    <x v="0"/>
    <n v="7"/>
    <n v="210"/>
    <x v="0"/>
    <x v="1"/>
    <b v="0"/>
    <b v="0"/>
  </r>
  <r>
    <n v="333"/>
    <x v="332"/>
    <x v="332"/>
    <x v="28"/>
    <x v="10"/>
    <x v="2"/>
    <x v="0"/>
    <x v="1"/>
    <x v="1"/>
    <n v="6"/>
    <n v="2100"/>
    <x v="1"/>
    <x v="0"/>
    <b v="0"/>
    <b v="0"/>
  </r>
  <r>
    <n v="334"/>
    <x v="333"/>
    <x v="333"/>
    <x v="29"/>
    <x v="10"/>
    <x v="3"/>
    <x v="1"/>
    <x v="0"/>
    <x v="2"/>
    <n v="5"/>
    <n v="1200"/>
    <x v="2"/>
    <x v="1"/>
    <b v="0"/>
    <b v="0"/>
  </r>
  <r>
    <n v="335"/>
    <x v="334"/>
    <x v="334"/>
    <x v="0"/>
    <x v="11"/>
    <x v="4"/>
    <x v="2"/>
    <x v="0"/>
    <x v="3"/>
    <n v="4"/>
    <n v="1500"/>
    <x v="2"/>
    <x v="0"/>
    <b v="0"/>
    <b v="0"/>
  </r>
  <r>
    <n v="336"/>
    <x v="335"/>
    <x v="335"/>
    <x v="1"/>
    <x v="11"/>
    <x v="5"/>
    <x v="3"/>
    <x v="1"/>
    <x v="3"/>
    <n v="4"/>
    <n v="1500"/>
    <x v="2"/>
    <x v="1"/>
    <b v="0"/>
    <b v="0"/>
  </r>
  <r>
    <n v="337"/>
    <x v="336"/>
    <x v="336"/>
    <x v="2"/>
    <x v="11"/>
    <x v="5"/>
    <x v="0"/>
    <x v="0"/>
    <x v="3"/>
    <n v="4"/>
    <n v="1500"/>
    <x v="2"/>
    <x v="0"/>
    <b v="0"/>
    <b v="0"/>
  </r>
  <r>
    <n v="338"/>
    <x v="337"/>
    <x v="337"/>
    <x v="3"/>
    <x v="11"/>
    <x v="0"/>
    <x v="1"/>
    <x v="0"/>
    <x v="3"/>
    <n v="4"/>
    <n v="1500"/>
    <x v="2"/>
    <x v="1"/>
    <b v="0"/>
    <b v="0"/>
  </r>
  <r>
    <n v="339"/>
    <x v="338"/>
    <x v="338"/>
    <x v="4"/>
    <x v="11"/>
    <x v="1"/>
    <x v="2"/>
    <x v="0"/>
    <x v="3"/>
    <n v="4"/>
    <n v="1500"/>
    <x v="2"/>
    <x v="0"/>
    <b v="0"/>
    <b v="0"/>
  </r>
  <r>
    <n v="340"/>
    <x v="339"/>
    <x v="339"/>
    <x v="5"/>
    <x v="11"/>
    <x v="2"/>
    <x v="3"/>
    <x v="0"/>
    <x v="3"/>
    <n v="4"/>
    <n v="1500"/>
    <x v="2"/>
    <x v="1"/>
    <b v="0"/>
    <b v="0"/>
  </r>
  <r>
    <n v="341"/>
    <x v="340"/>
    <x v="340"/>
    <x v="6"/>
    <x v="11"/>
    <x v="3"/>
    <x v="0"/>
    <x v="0"/>
    <x v="3"/>
    <n v="4"/>
    <n v="1500"/>
    <x v="2"/>
    <x v="0"/>
    <b v="0"/>
    <b v="0"/>
  </r>
  <r>
    <n v="342"/>
    <x v="341"/>
    <x v="341"/>
    <x v="7"/>
    <x v="11"/>
    <x v="4"/>
    <x v="1"/>
    <x v="0"/>
    <x v="3"/>
    <n v="4"/>
    <n v="1500"/>
    <x v="2"/>
    <x v="1"/>
    <b v="0"/>
    <b v="0"/>
  </r>
  <r>
    <n v="343"/>
    <x v="342"/>
    <x v="342"/>
    <x v="8"/>
    <x v="11"/>
    <x v="5"/>
    <x v="2"/>
    <x v="0"/>
    <x v="3"/>
    <n v="4"/>
    <n v="1500"/>
    <x v="2"/>
    <x v="0"/>
    <b v="0"/>
    <b v="0"/>
  </r>
  <r>
    <n v="344"/>
    <x v="343"/>
    <x v="343"/>
    <x v="9"/>
    <x v="11"/>
    <x v="0"/>
    <x v="3"/>
    <x v="0"/>
    <x v="0"/>
    <n v="2"/>
    <n v="210"/>
    <x v="5"/>
    <x v="1"/>
    <b v="0"/>
    <b v="0"/>
  </r>
  <r>
    <n v="345"/>
    <x v="344"/>
    <x v="344"/>
    <x v="10"/>
    <x v="11"/>
    <x v="1"/>
    <x v="0"/>
    <x v="1"/>
    <x v="2"/>
    <n v="7"/>
    <n v="2100"/>
    <x v="6"/>
    <x v="0"/>
    <b v="0"/>
    <b v="0"/>
  </r>
  <r>
    <n v="346"/>
    <x v="345"/>
    <x v="345"/>
    <x v="11"/>
    <x v="11"/>
    <x v="2"/>
    <x v="1"/>
    <x v="0"/>
    <x v="3"/>
    <n v="6"/>
    <n v="1200"/>
    <x v="7"/>
    <x v="1"/>
    <b v="0"/>
    <b v="0"/>
  </r>
  <r>
    <n v="347"/>
    <x v="346"/>
    <x v="346"/>
    <x v="12"/>
    <x v="11"/>
    <x v="3"/>
    <x v="2"/>
    <x v="1"/>
    <x v="4"/>
    <n v="5"/>
    <n v="300"/>
    <x v="11"/>
    <x v="0"/>
    <b v="0"/>
    <b v="0"/>
  </r>
  <r>
    <n v="348"/>
    <x v="347"/>
    <x v="347"/>
    <x v="13"/>
    <x v="11"/>
    <x v="4"/>
    <x v="3"/>
    <x v="0"/>
    <x v="5"/>
    <n v="4"/>
    <n v="200"/>
    <x v="12"/>
    <x v="1"/>
    <b v="0"/>
    <b v="0"/>
  </r>
  <r>
    <n v="349"/>
    <x v="348"/>
    <x v="348"/>
    <x v="14"/>
    <x v="11"/>
    <x v="5"/>
    <x v="0"/>
    <x v="0"/>
    <x v="0"/>
    <n v="3"/>
    <n v="190"/>
    <x v="10"/>
    <x v="0"/>
    <b v="0"/>
    <b v="0"/>
  </r>
  <r>
    <n v="350"/>
    <x v="349"/>
    <x v="349"/>
    <x v="15"/>
    <x v="11"/>
    <x v="5"/>
    <x v="1"/>
    <x v="0"/>
    <x v="1"/>
    <n v="2"/>
    <n v="2100"/>
    <x v="13"/>
    <x v="1"/>
    <b v="0"/>
    <b v="0"/>
  </r>
  <r>
    <n v="351"/>
    <x v="350"/>
    <x v="350"/>
    <x v="16"/>
    <x v="11"/>
    <x v="0"/>
    <x v="2"/>
    <x v="0"/>
    <x v="0"/>
    <n v="7"/>
    <n v="210"/>
    <x v="0"/>
    <x v="0"/>
    <b v="0"/>
    <b v="0"/>
  </r>
  <r>
    <n v="352"/>
    <x v="351"/>
    <x v="351"/>
    <x v="17"/>
    <x v="11"/>
    <x v="0"/>
    <x v="3"/>
    <x v="1"/>
    <x v="1"/>
    <n v="6"/>
    <n v="2100"/>
    <x v="1"/>
    <x v="1"/>
    <b v="0"/>
    <b v="0"/>
  </r>
  <r>
    <n v="353"/>
    <x v="352"/>
    <x v="352"/>
    <x v="18"/>
    <x v="11"/>
    <x v="0"/>
    <x v="0"/>
    <x v="2"/>
    <x v="2"/>
    <n v="5"/>
    <n v="1200"/>
    <x v="2"/>
    <x v="0"/>
    <b v="0"/>
    <b v="0"/>
  </r>
  <r>
    <n v="354"/>
    <x v="353"/>
    <x v="353"/>
    <x v="19"/>
    <x v="11"/>
    <x v="0"/>
    <x v="1"/>
    <x v="3"/>
    <x v="3"/>
    <n v="4"/>
    <n v="1500"/>
    <x v="2"/>
    <x v="1"/>
    <b v="0"/>
    <b v="0"/>
  </r>
  <r>
    <n v="355"/>
    <x v="354"/>
    <x v="354"/>
    <x v="20"/>
    <x v="11"/>
    <x v="0"/>
    <x v="2"/>
    <x v="0"/>
    <x v="4"/>
    <n v="3"/>
    <n v="300"/>
    <x v="3"/>
    <x v="0"/>
    <b v="0"/>
    <b v="0"/>
  </r>
  <r>
    <n v="356"/>
    <x v="355"/>
    <x v="355"/>
    <x v="21"/>
    <x v="11"/>
    <x v="0"/>
    <x v="3"/>
    <x v="1"/>
    <x v="5"/>
    <n v="2"/>
    <n v="190"/>
    <x v="4"/>
    <x v="1"/>
    <b v="0"/>
    <b v="0"/>
  </r>
  <r>
    <n v="357"/>
    <x v="356"/>
    <x v="356"/>
    <x v="22"/>
    <x v="11"/>
    <x v="0"/>
    <x v="0"/>
    <x v="2"/>
    <x v="0"/>
    <n v="7"/>
    <n v="210"/>
    <x v="0"/>
    <x v="0"/>
    <b v="0"/>
    <b v="0"/>
  </r>
  <r>
    <n v="358"/>
    <x v="357"/>
    <x v="357"/>
    <x v="23"/>
    <x v="11"/>
    <x v="0"/>
    <x v="1"/>
    <x v="3"/>
    <x v="1"/>
    <n v="6"/>
    <n v="2100"/>
    <x v="1"/>
    <x v="1"/>
    <b v="0"/>
    <b v="0"/>
  </r>
  <r>
    <n v="359"/>
    <x v="358"/>
    <x v="358"/>
    <x v="24"/>
    <x v="11"/>
    <x v="1"/>
    <x v="2"/>
    <x v="1"/>
    <x v="1"/>
    <n v="6"/>
    <n v="2100"/>
    <x v="1"/>
    <x v="0"/>
    <b v="0"/>
    <b v="0"/>
  </r>
  <r>
    <n v="360"/>
    <x v="359"/>
    <x v="359"/>
    <x v="25"/>
    <x v="11"/>
    <x v="1"/>
    <x v="3"/>
    <x v="0"/>
    <x v="1"/>
    <n v="6"/>
    <n v="2100"/>
    <x v="1"/>
    <x v="1"/>
    <b v="0"/>
    <b v="0"/>
  </r>
  <r>
    <n v="361"/>
    <x v="360"/>
    <x v="360"/>
    <x v="26"/>
    <x v="11"/>
    <x v="1"/>
    <x v="0"/>
    <x v="2"/>
    <x v="1"/>
    <n v="6"/>
    <n v="2100"/>
    <x v="1"/>
    <x v="0"/>
    <b v="0"/>
    <b v="0"/>
  </r>
  <r>
    <n v="362"/>
    <x v="361"/>
    <x v="361"/>
    <x v="27"/>
    <x v="11"/>
    <x v="1"/>
    <x v="1"/>
    <x v="3"/>
    <x v="1"/>
    <n v="6"/>
    <n v="2100"/>
    <x v="1"/>
    <x v="1"/>
    <b v="0"/>
    <b v="0"/>
  </r>
  <r>
    <n v="363"/>
    <x v="362"/>
    <x v="362"/>
    <x v="28"/>
    <x v="11"/>
    <x v="1"/>
    <x v="2"/>
    <x v="1"/>
    <x v="1"/>
    <n v="6"/>
    <n v="2100"/>
    <x v="1"/>
    <x v="0"/>
    <b v="0"/>
    <b v="0"/>
  </r>
  <r>
    <n v="364"/>
    <x v="363"/>
    <x v="363"/>
    <x v="29"/>
    <x v="11"/>
    <x v="1"/>
    <x v="3"/>
    <x v="0"/>
    <x v="1"/>
    <n v="6"/>
    <n v="2100"/>
    <x v="1"/>
    <x v="1"/>
    <b v="0"/>
    <b v="0"/>
  </r>
  <r>
    <n v="365"/>
    <x v="364"/>
    <x v="364"/>
    <x v="30"/>
    <x v="11"/>
    <x v="1"/>
    <x v="0"/>
    <x v="2"/>
    <x v="2"/>
    <n v="6"/>
    <n v="1200"/>
    <x v="7"/>
    <x v="0"/>
    <b v="0"/>
    <b v="0"/>
  </r>
  <r>
    <n v="366"/>
    <x v="365"/>
    <x v="365"/>
    <x v="0"/>
    <x v="0"/>
    <x v="1"/>
    <x v="1"/>
    <x v="3"/>
    <x v="3"/>
    <n v="5"/>
    <n v="1500"/>
    <x v="8"/>
    <x v="1"/>
    <b v="0"/>
    <b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734CA21-297B-4345-8EC9-0CD1846EDAC5}" name="PivotTable1"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69">
  <location ref="A155:C187" firstHeaderRow="0"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axis="axisRow" showAll="0">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t="default"/>
      </items>
    </pivotField>
    <pivotField showAll="0"/>
    <pivotField dataField="1" showAll="0">
      <items count="7">
        <item x="0"/>
        <item x="3"/>
        <item x="4"/>
        <item x="2"/>
        <item x="1"/>
        <item x="5"/>
        <item t="default"/>
      </items>
    </pivotField>
    <pivotField showAll="0">
      <items count="5">
        <item x="0"/>
        <item x="3"/>
        <item x="2"/>
        <item x="1"/>
        <item t="default"/>
      </items>
    </pivotField>
    <pivotField dataField="1" showAll="0">
      <items count="5">
        <item x="0"/>
        <item x="2"/>
        <item x="3"/>
        <item x="1"/>
        <item t="default"/>
      </items>
    </pivotField>
    <pivotField showAll="0">
      <items count="7">
        <item x="5"/>
        <item x="2"/>
        <item x="0"/>
        <item x="1"/>
        <item x="3"/>
        <item x="4"/>
        <item t="default"/>
      </items>
    </pivotField>
    <pivotField numFmtId="164" showAll="0"/>
    <pivotField numFmtId="164" showAll="0"/>
    <pivotField numFmtId="164" showAll="0">
      <items count="15">
        <item x="4"/>
        <item x="5"/>
        <item x="10"/>
        <item x="12"/>
        <item x="3"/>
        <item x="9"/>
        <item x="0"/>
        <item x="11"/>
        <item x="13"/>
        <item x="2"/>
        <item x="7"/>
        <item x="8"/>
        <item x="1"/>
        <item x="6"/>
        <item t="default"/>
      </items>
    </pivotField>
    <pivotField showAll="0">
      <items count="3">
        <item x="1"/>
        <item x="0"/>
        <item t="default"/>
      </items>
    </pivotField>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3"/>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Count of Region" fld="7" subtotal="count" baseField="0" baseItem="0"/>
    <dataField name="Count of Salesman" fld="5" subtotal="count" baseField="0" baseItem="0"/>
  </dataFields>
  <chartFormats count="4">
    <chartFormat chart="62" format="0"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1"/>
          </reference>
        </references>
      </pivotArea>
    </chartFormat>
    <chartFormat chart="64" format="4" series="1">
      <pivotArea type="data" outline="0" fieldPosition="0">
        <references count="1">
          <reference field="4294967294" count="1" selected="0">
            <x v="0"/>
          </reference>
        </references>
      </pivotArea>
    </chartFormat>
    <chartFormat chart="6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726EEBD-BFDF-4E02-8386-E3D03FA13A5B}" name="PivotTable11"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40">
  <location ref="A86:B90"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items count="5">
        <item x="0"/>
        <item x="3"/>
        <item x="2"/>
        <item x="1"/>
        <item t="default"/>
      </items>
    </pivotField>
    <pivotField showAll="0">
      <items count="5">
        <item x="0"/>
        <item x="2"/>
        <item x="3"/>
        <item x="1"/>
        <item t="default"/>
      </items>
    </pivotField>
    <pivotField axis="axisRow" showAll="0" measureFilter="1">
      <items count="7">
        <item x="5"/>
        <item x="2"/>
        <item x="0"/>
        <item x="1"/>
        <item x="3"/>
        <item x="4"/>
        <item t="default"/>
      </items>
    </pivotField>
    <pivotField dataField="1" numFmtId="164" showAll="0"/>
    <pivotField numFmtId="164" showAll="0"/>
    <pivotField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8"/>
  </rowFields>
  <rowItems count="4">
    <i>
      <x v="1"/>
    </i>
    <i>
      <x v="2"/>
    </i>
    <i>
      <x v="3"/>
    </i>
    <i t="grand">
      <x/>
    </i>
  </rowItems>
  <colItems count="1">
    <i/>
  </colItems>
  <dataFields count="1">
    <dataField name="Sum of Qty" fld="9" baseField="0" baseItem="0"/>
  </dataFields>
  <chartFormats count="4">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56B116-1E97-4CF9-8AD1-CEA59C493750}" name="PivotTable13"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51">
  <location ref="A109:B116"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axis="axisRow" showAll="0">
      <items count="7">
        <item x="0"/>
        <item x="3"/>
        <item x="4"/>
        <item x="2"/>
        <item x="1"/>
        <item x="5"/>
        <item t="default"/>
      </items>
    </pivotField>
    <pivotField showAll="0">
      <items count="5">
        <item x="0"/>
        <item x="3"/>
        <item x="2"/>
        <item x="1"/>
        <item t="default"/>
      </items>
    </pivotField>
    <pivotField showAll="0">
      <items count="5">
        <item x="0"/>
        <item x="2"/>
        <item x="3"/>
        <item x="1"/>
        <item t="default"/>
      </items>
    </pivotField>
    <pivotField showAll="0">
      <items count="7">
        <item x="5"/>
        <item x="2"/>
        <item x="0"/>
        <item x="1"/>
        <item x="3"/>
        <item x="4"/>
        <item t="default"/>
      </items>
    </pivotField>
    <pivotField numFmtId="164" showAll="0"/>
    <pivotField numFmtId="164" showAll="0"/>
    <pivotField dataField="1"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5"/>
  </rowFields>
  <rowItems count="7">
    <i>
      <x/>
    </i>
    <i>
      <x v="1"/>
    </i>
    <i>
      <x v="2"/>
    </i>
    <i>
      <x v="3"/>
    </i>
    <i>
      <x v="4"/>
    </i>
    <i>
      <x v="5"/>
    </i>
    <i t="grand">
      <x/>
    </i>
  </rowItems>
  <colItems count="1">
    <i/>
  </colItems>
  <dataFields count="1">
    <dataField name="Sum of Amount" fld="11" baseField="0" baseItem="0"/>
  </dataFields>
  <chartFormats count="2">
    <chartFormat chart="40" format="1" series="1">
      <pivotArea type="data" outline="0" fieldPosition="0">
        <references count="1">
          <reference field="4294967294" count="1" selected="0">
            <x v="0"/>
          </reference>
        </references>
      </pivotArea>
    </chartFormat>
    <chartFormat chart="4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0A7BFF9-F286-4622-B9DF-5A674BB6668B}" name="PivotTable17"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54">
  <location ref="A136:B140"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axis="axisRow" showAll="0" measureFilter="1">
      <items count="7">
        <item x="0"/>
        <item x="3"/>
        <item x="4"/>
        <item x="2"/>
        <item x="1"/>
        <item x="5"/>
        <item t="default"/>
      </items>
    </pivotField>
    <pivotField showAll="0">
      <items count="5">
        <item x="0"/>
        <item x="3"/>
        <item x="2"/>
        <item x="1"/>
        <item t="default"/>
      </items>
    </pivotField>
    <pivotField showAll="0">
      <items count="5">
        <item x="0"/>
        <item x="2"/>
        <item x="3"/>
        <item x="1"/>
        <item t="default"/>
      </items>
    </pivotField>
    <pivotField showAll="0">
      <items count="7">
        <item x="5"/>
        <item x="2"/>
        <item x="0"/>
        <item x="1"/>
        <item x="3"/>
        <item x="4"/>
        <item t="default"/>
      </items>
    </pivotField>
    <pivotField dataField="1" numFmtId="164" showAll="0"/>
    <pivotField numFmtId="164" showAll="0"/>
    <pivotField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5"/>
  </rowFields>
  <rowItems count="4">
    <i>
      <x v="1"/>
    </i>
    <i>
      <x v="2"/>
    </i>
    <i>
      <x v="3"/>
    </i>
    <i t="grand">
      <x/>
    </i>
  </rowItems>
  <colItems count="1">
    <i/>
  </colItems>
  <dataFields count="1">
    <dataField name="Sum of Qty" fld="9" baseField="0" baseItem="0"/>
  </dataFields>
  <chartFormats count="4">
    <chartFormat chart="40"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5" format="0" series="1">
      <pivotArea type="data" outline="0" fieldPosition="0">
        <references count="1">
          <reference field="4294967294" count="1" selected="0">
            <x v="0"/>
          </reference>
        </references>
      </pivotArea>
    </chartFormat>
    <chartFormat chart="4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3"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90EB003-C304-42A9-A00C-096E687CDBBB}" name="PivotTable4"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A2:A3" firstHeaderRow="1" firstDataRow="1" firstDataCol="0"/>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5">
        <item x="0"/>
        <item x="2"/>
        <item x="3"/>
        <item x="1"/>
        <item t="default"/>
      </items>
    </pivotField>
    <pivotField showAll="0">
      <items count="7">
        <item x="5"/>
        <item x="2"/>
        <item x="0"/>
        <item x="1"/>
        <item x="3"/>
        <item x="4"/>
        <item t="default"/>
      </items>
    </pivotField>
    <pivotField numFmtId="164" showAll="0"/>
    <pivotField numFmtId="164" showAll="0"/>
    <pivotField dataField="1"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Sum of Amount"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9E89744-3CD7-43D7-8131-A9CE14C7270A}" name="PivotTable12"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43">
  <location ref="A100:B104"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items count="5">
        <item x="0"/>
        <item x="3"/>
        <item x="2"/>
        <item x="1"/>
        <item t="default"/>
      </items>
    </pivotField>
    <pivotField showAll="0">
      <items count="5">
        <item x="0"/>
        <item x="2"/>
        <item x="3"/>
        <item x="1"/>
        <item t="default"/>
      </items>
    </pivotField>
    <pivotField axis="axisRow" showAll="0" measureFilter="1">
      <items count="7">
        <item x="5"/>
        <item x="2"/>
        <item x="0"/>
        <item x="1"/>
        <item x="3"/>
        <item x="4"/>
        <item t="default"/>
      </items>
    </pivotField>
    <pivotField dataField="1" numFmtId="164" showAll="0"/>
    <pivotField numFmtId="164" showAll="0"/>
    <pivotField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8"/>
  </rowFields>
  <rowItems count="4">
    <i>
      <x/>
    </i>
    <i>
      <x v="4"/>
    </i>
    <i>
      <x v="5"/>
    </i>
    <i t="grand">
      <x/>
    </i>
  </rowItems>
  <colItems count="1">
    <i/>
  </colItems>
  <dataFields count="1">
    <dataField name="Sum of Qty" fld="9" baseField="0" baseItem="0"/>
  </dataFields>
  <chartFormats count="6">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 chart="29" format="0" series="1">
      <pivotArea type="data" outline="0" fieldPosition="0">
        <references count="1">
          <reference field="4294967294" count="1" selected="0">
            <x v="0"/>
          </reference>
        </references>
      </pivotArea>
    </chartFormat>
    <chartFormat chart="32" format="2" series="1">
      <pivotArea type="data" outline="0" fieldPosition="0">
        <references count="1">
          <reference field="4294967294" count="1" selected="0">
            <x v="0"/>
          </reference>
        </references>
      </pivotArea>
    </chartFormat>
    <chartFormat chart="34"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count" evalOrder="-1" id="2"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0B0B515-B261-4AFC-955B-ADD52E5DA1BE}" name="PivotTable10"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34">
  <location ref="A73:B80"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items count="5">
        <item x="0"/>
        <item x="3"/>
        <item x="2"/>
        <item x="1"/>
        <item t="default"/>
      </items>
    </pivotField>
    <pivotField showAll="0">
      <items count="5">
        <item x="0"/>
        <item x="2"/>
        <item x="3"/>
        <item x="1"/>
        <item t="default"/>
      </items>
    </pivotField>
    <pivotField axis="axisRow" showAll="0">
      <items count="7">
        <item x="5"/>
        <item x="2"/>
        <item x="0"/>
        <item x="1"/>
        <item x="3"/>
        <item x="4"/>
        <item t="default"/>
      </items>
    </pivotField>
    <pivotField dataField="1" numFmtId="164" showAll="0"/>
    <pivotField numFmtId="164" showAll="0"/>
    <pivotField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8"/>
  </rowFields>
  <rowItems count="7">
    <i>
      <x/>
    </i>
    <i>
      <x v="1"/>
    </i>
    <i>
      <x v="2"/>
    </i>
    <i>
      <x v="3"/>
    </i>
    <i>
      <x v="4"/>
    </i>
    <i>
      <x v="5"/>
    </i>
    <i t="grand">
      <x/>
    </i>
  </rowItems>
  <colItems count="1">
    <i/>
  </colItems>
  <dataFields count="1">
    <dataField name="Sum of Qty" fld="9" baseField="0" baseItem="0"/>
  </dataFields>
  <chartFormats count="2">
    <chartFormat chart="25"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03E6127-5940-4288-ACD6-4D4D4CB125F7}" name="PivotTable5"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A13:A14" firstHeaderRow="1" firstDataRow="1" firstDataCol="0"/>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dataField="1" showAll="0"/>
    <pivotField showAll="0">
      <items count="5">
        <item x="0"/>
        <item x="2"/>
        <item x="3"/>
        <item x="1"/>
        <item t="default"/>
      </items>
    </pivotField>
    <pivotField showAll="0">
      <items count="7">
        <item x="5"/>
        <item x="2"/>
        <item x="0"/>
        <item x="1"/>
        <item x="3"/>
        <item x="4"/>
        <item t="default"/>
      </items>
    </pivotField>
    <pivotField numFmtId="164" showAll="0"/>
    <pivotField numFmtId="164" showAll="0"/>
    <pivotField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Count of Seller" fld="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D994684-130C-4511-AD2E-CAB23183C8D3}" name="PivotTable3"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location ref="A10:A11" firstHeaderRow="1" firstDataRow="1" firstDataCol="0"/>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5">
        <item x="0"/>
        <item x="2"/>
        <item x="3"/>
        <item x="1"/>
        <item t="default"/>
      </items>
    </pivotField>
    <pivotField showAll="0">
      <items count="7">
        <item x="5"/>
        <item x="2"/>
        <item x="0"/>
        <item x="1"/>
        <item x="3"/>
        <item x="4"/>
        <item t="default"/>
      </items>
    </pivotField>
    <pivotField numFmtId="164" showAll="0"/>
    <pivotField numFmtId="164" showAll="0"/>
    <pivotField dataField="1"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x="0"/>
        <item x="1"/>
        <item x="2"/>
        <item x="3"/>
        <item x="4"/>
        <item x="5"/>
        <item t="default"/>
      </items>
    </pivotField>
    <pivotField showAll="0">
      <items count="5">
        <item x="0"/>
        <item x="1"/>
        <item x="2"/>
        <item x="3"/>
        <item t="default"/>
      </items>
    </pivotField>
  </pivotFields>
  <rowItems count="1">
    <i/>
  </rowItems>
  <colItems count="1">
    <i/>
  </colItems>
  <dataFields count="1">
    <dataField name="Sum of Amount"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07FB5C5-752C-484D-ABB8-90A8E0737E4F}" name="PivotTable6"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30">
  <location ref="A17:B30" firstHeaderRow="1" firstDataRow="1" firstDataCol="1"/>
  <pivotFields count="17">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5">
        <item x="0"/>
        <item x="2"/>
        <item x="3"/>
        <item x="1"/>
        <item t="default"/>
      </items>
    </pivotField>
    <pivotField showAll="0">
      <items count="7">
        <item x="5"/>
        <item x="2"/>
        <item x="0"/>
        <item x="1"/>
        <item x="3"/>
        <item x="4"/>
        <item t="default"/>
      </items>
    </pivotField>
    <pivotField numFmtId="164" showAll="0"/>
    <pivotField numFmtId="164" showAll="0"/>
    <pivotField dataField="1"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2"/>
  </rowFields>
  <rowItems count="13">
    <i>
      <x v="1"/>
    </i>
    <i>
      <x v="2"/>
    </i>
    <i>
      <x v="3"/>
    </i>
    <i>
      <x v="4"/>
    </i>
    <i>
      <x v="5"/>
    </i>
    <i>
      <x v="6"/>
    </i>
    <i>
      <x v="7"/>
    </i>
    <i>
      <x v="8"/>
    </i>
    <i>
      <x v="9"/>
    </i>
    <i>
      <x v="10"/>
    </i>
    <i>
      <x v="11"/>
    </i>
    <i>
      <x v="12"/>
    </i>
    <i t="grand">
      <x/>
    </i>
  </rowItems>
  <colItems count="1">
    <i/>
  </colItems>
  <dataFields count="1">
    <dataField name="Sum of Amount" fld="11" baseField="0" baseItem="0"/>
  </dataFields>
  <chartFormats count="2">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1E354BA-625C-4AC9-BD70-D387BE83D776}" name="PivotTable7"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23">
  <location ref="A33:B38"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axis="axisRow" showAll="0">
      <items count="5">
        <item x="0"/>
        <item x="2"/>
        <item x="3"/>
        <item x="1"/>
        <item t="default"/>
      </items>
    </pivotField>
    <pivotField showAll="0">
      <items count="7">
        <item x="5"/>
        <item x="2"/>
        <item x="0"/>
        <item x="1"/>
        <item x="3"/>
        <item x="4"/>
        <item t="default"/>
      </items>
    </pivotField>
    <pivotField numFmtId="164" showAll="0"/>
    <pivotField numFmtId="164" showAll="0"/>
    <pivotField dataField="1"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7"/>
  </rowFields>
  <rowItems count="5">
    <i>
      <x/>
    </i>
    <i>
      <x v="1"/>
    </i>
    <i>
      <x v="2"/>
    </i>
    <i>
      <x v="3"/>
    </i>
    <i t="grand">
      <x/>
    </i>
  </rowItems>
  <colItems count="1">
    <i/>
  </colItems>
  <dataFields count="1">
    <dataField name="Sum of Amount" fld="11" baseField="0" baseItem="0"/>
  </dataFields>
  <chartFormats count="2">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1F6F6B9-EEB3-46AA-95D5-596525369ABF}" name="PivotTable9"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24">
  <location ref="B61:B62" firstHeaderRow="1" firstDataRow="1" firstDataCol="0"/>
  <pivotFields count="17">
    <pivotField showAll="0"/>
    <pivotField showAll="0"/>
    <pivotField numFmtId="14" showAll="0">
      <items count="15">
        <item x="0"/>
        <item x="1"/>
        <item x="2"/>
        <item x="3"/>
        <item x="4"/>
        <item x="5"/>
        <item x="6"/>
        <item x="7"/>
        <item x="8"/>
        <item x="9"/>
        <item x="10"/>
        <item x="11"/>
        <item x="12"/>
        <item x="13"/>
        <item t="default"/>
      </items>
    </pivotField>
    <pivotField showAll="0">
      <items count="32">
        <item h="1" x="0"/>
        <item h="1" x="1"/>
        <item h="1" x="2"/>
        <item h="1" x="3"/>
        <item h="1" x="4"/>
        <item h="1" x="5"/>
        <item h="1" x="6"/>
        <item h="1" x="7"/>
        <item h="1" x="8"/>
        <item h="1" x="9"/>
        <item h="1" x="10"/>
        <item x="11"/>
        <item h="1" x="12"/>
        <item h="1" x="13"/>
        <item h="1" x="14"/>
        <item h="1" x="15"/>
        <item h="1" x="16"/>
        <item h="1" x="17"/>
        <item h="1" x="18"/>
        <item h="1" x="19"/>
        <item h="1" x="20"/>
        <item h="1" x="21"/>
        <item h="1" x="22"/>
        <item h="1" x="23"/>
        <item h="1" x="24"/>
        <item h="1" x="25"/>
        <item h="1" x="26"/>
        <item h="1" x="27"/>
        <item h="1" x="28"/>
        <item h="1" x="29"/>
        <item h="1" x="30"/>
        <item t="default"/>
      </items>
    </pivotField>
    <pivotField showAll="0">
      <items count="13">
        <item x="0"/>
        <item h="1" x="1"/>
        <item h="1" x="2"/>
        <item h="1" x="3"/>
        <item h="1" x="4"/>
        <item h="1" x="5"/>
        <item h="1" x="6"/>
        <item h="1" x="7"/>
        <item h="1" x="8"/>
        <item h="1" x="9"/>
        <item h="1" x="10"/>
        <item h="1" x="11"/>
        <item t="default"/>
      </items>
    </pivotField>
    <pivotField showAll="0">
      <items count="7">
        <item x="0"/>
        <item x="3"/>
        <item x="4"/>
        <item x="2"/>
        <item x="1"/>
        <item x="5"/>
        <item t="default"/>
      </items>
    </pivotField>
    <pivotField showAll="0">
      <items count="5">
        <item x="0"/>
        <item x="3"/>
        <item x="2"/>
        <item x="1"/>
        <item t="default"/>
      </items>
    </pivotField>
    <pivotField showAll="0">
      <items count="5">
        <item x="0"/>
        <item x="2"/>
        <item x="3"/>
        <item x="1"/>
        <item t="default"/>
      </items>
    </pivotField>
    <pivotField showAll="0">
      <items count="7">
        <item x="5"/>
        <item x="2"/>
        <item x="0"/>
        <item x="1"/>
        <item x="3"/>
        <item x="4"/>
        <item t="default"/>
      </items>
    </pivotField>
    <pivotField dataField="1" numFmtId="164" showAll="0"/>
    <pivotField numFmtId="164" showAll="0"/>
    <pivotField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Items count="1">
    <i/>
  </rowItems>
  <colItems count="1">
    <i/>
  </colItems>
  <dataFields count="1">
    <dataField name="Sum of Qty"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B55E3C8-873F-4A46-A266-F79CC40F75A0}" name="PivotTable18"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66">
  <location ref="A147:B150"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items count="7">
        <item x="0"/>
        <item x="3"/>
        <item x="4"/>
        <item x="2"/>
        <item x="1"/>
        <item x="5"/>
        <item t="default"/>
      </items>
    </pivotField>
    <pivotField showAll="0">
      <items count="5">
        <item x="0"/>
        <item x="3"/>
        <item x="2"/>
        <item x="1"/>
        <item t="default"/>
      </items>
    </pivotField>
    <pivotField showAll="0">
      <items count="5">
        <item x="0"/>
        <item x="2"/>
        <item x="3"/>
        <item x="1"/>
        <item t="default"/>
      </items>
    </pivotField>
    <pivotField showAll="0">
      <items count="7">
        <item x="5"/>
        <item x="2"/>
        <item x="0"/>
        <item x="1"/>
        <item x="3"/>
        <item x="4"/>
        <item t="default"/>
      </items>
    </pivotField>
    <pivotField dataField="1" numFmtId="164" showAll="0"/>
    <pivotField numFmtId="164" showAll="0"/>
    <pivotField numFmtId="164" showAll="0">
      <items count="15">
        <item x="4"/>
        <item x="5"/>
        <item x="10"/>
        <item x="12"/>
        <item x="3"/>
        <item x="9"/>
        <item x="0"/>
        <item x="11"/>
        <item x="13"/>
        <item x="2"/>
        <item x="7"/>
        <item x="8"/>
        <item x="1"/>
        <item x="6"/>
        <item t="default"/>
      </items>
    </pivotField>
    <pivotField axis="axisRow" showAll="0">
      <items count="3">
        <item x="1"/>
        <item x="0"/>
        <item t="default"/>
      </items>
    </pivotField>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2"/>
  </rowFields>
  <rowItems count="3">
    <i>
      <x/>
    </i>
    <i>
      <x v="1"/>
    </i>
    <i t="grand">
      <x/>
    </i>
  </rowItems>
  <colItems count="1">
    <i/>
  </colItems>
  <dataFields count="1">
    <dataField name="Sum of Qty" fld="9" baseField="0" baseItem="0"/>
  </dataFields>
  <chartFormats count="10">
    <chartFormat chart="50" format="0"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1" format="2">
      <pivotArea type="data" outline="0" fieldPosition="0">
        <references count="2">
          <reference field="4294967294" count="1" selected="0">
            <x v="0"/>
          </reference>
          <reference field="12" count="1" selected="0">
            <x v="0"/>
          </reference>
        </references>
      </pivotArea>
    </chartFormat>
    <chartFormat chart="51" format="3">
      <pivotArea type="data" outline="0" fieldPosition="0">
        <references count="2">
          <reference field="4294967294" count="1" selected="0">
            <x v="0"/>
          </reference>
          <reference field="12" count="1" selected="0">
            <x v="1"/>
          </reference>
        </references>
      </pivotArea>
    </chartFormat>
    <chartFormat chart="52" format="4" series="1">
      <pivotArea type="data" outline="0" fieldPosition="0">
        <references count="1">
          <reference field="4294967294" count="1" selected="0">
            <x v="0"/>
          </reference>
        </references>
      </pivotArea>
    </chartFormat>
    <chartFormat chart="52" format="5">
      <pivotArea type="data" outline="0" fieldPosition="0">
        <references count="2">
          <reference field="4294967294" count="1" selected="0">
            <x v="0"/>
          </reference>
          <reference field="12" count="1" selected="0">
            <x v="0"/>
          </reference>
        </references>
      </pivotArea>
    </chartFormat>
    <chartFormat chart="52" format="6">
      <pivotArea type="data" outline="0" fieldPosition="0">
        <references count="2">
          <reference field="4294967294" count="1" selected="0">
            <x v="0"/>
          </reference>
          <reference field="12" count="1" selected="0">
            <x v="1"/>
          </reference>
        </references>
      </pivotArea>
    </chartFormat>
    <chartFormat chart="50" format="1">
      <pivotArea type="data" outline="0" fieldPosition="0">
        <references count="2">
          <reference field="4294967294" count="1" selected="0">
            <x v="0"/>
          </reference>
          <reference field="12" count="1" selected="0">
            <x v="0"/>
          </reference>
        </references>
      </pivotArea>
    </chartFormat>
    <chartFormat chart="50" format="2">
      <pivotArea type="data" outline="0" fieldPosition="0">
        <references count="2">
          <reference field="4294967294" count="1" selected="0">
            <x v="0"/>
          </reference>
          <reference field="12" count="1" selected="0">
            <x v="1"/>
          </reference>
        </references>
      </pivotArea>
    </chartFormat>
    <chartFormat chart="6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DBC5A23-245A-406B-AC65-94039B76976B}" name="PivotTable8"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28">
  <location ref="A51:B58"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items count="5">
        <item x="0"/>
        <item x="2"/>
        <item x="3"/>
        <item x="1"/>
        <item t="default"/>
      </items>
    </pivotField>
    <pivotField axis="axisRow" showAll="0">
      <items count="7">
        <item x="5"/>
        <item x="2"/>
        <item x="0"/>
        <item x="1"/>
        <item x="3"/>
        <item x="4"/>
        <item t="default"/>
      </items>
    </pivotField>
    <pivotField numFmtId="164" showAll="0"/>
    <pivotField numFmtId="164" showAll="0"/>
    <pivotField dataField="1"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8"/>
  </rowFields>
  <rowItems count="7">
    <i>
      <x/>
    </i>
    <i>
      <x v="1"/>
    </i>
    <i>
      <x v="2"/>
    </i>
    <i>
      <x v="3"/>
    </i>
    <i>
      <x v="4"/>
    </i>
    <i>
      <x v="5"/>
    </i>
    <i t="grand">
      <x/>
    </i>
  </rowItems>
  <colItems count="1">
    <i/>
  </colItems>
  <dataFields count="1">
    <dataField name="Sum of Amount" fld="11" showDataAs="percentOfCol" baseField="0" baseItem="0" numFmtId="10"/>
  </dataFields>
  <chartFormats count="2">
    <chartFormat chart="19" format="0" series="1">
      <pivotArea type="data" outline="0" fieldPosition="0">
        <references count="1">
          <reference field="4294967294" count="1" selected="0">
            <x v="0"/>
          </reference>
        </references>
      </pivotArea>
    </chartFormat>
    <chartFormat chart="2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6E47F6F-2A35-412B-A2A7-63EB47CB232C}" name="PivotTable14"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53">
  <location ref="A122:B126" firstHeaderRow="1" firstDataRow="1" firstDataCol="1"/>
  <pivotFields count="17">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axis="axisRow" showAll="0" measureFilter="1">
      <items count="7">
        <item x="0"/>
        <item x="3"/>
        <item x="4"/>
        <item x="2"/>
        <item x="1"/>
        <item x="5"/>
        <item t="default"/>
      </items>
    </pivotField>
    <pivotField showAll="0">
      <items count="5">
        <item x="0"/>
        <item x="3"/>
        <item x="2"/>
        <item x="1"/>
        <item t="default"/>
      </items>
    </pivotField>
    <pivotField showAll="0">
      <items count="5">
        <item x="0"/>
        <item x="2"/>
        <item x="3"/>
        <item x="1"/>
        <item t="default"/>
      </items>
    </pivotField>
    <pivotField showAll="0">
      <items count="7">
        <item x="5"/>
        <item x="2"/>
        <item x="0"/>
        <item x="1"/>
        <item x="3"/>
        <item x="4"/>
        <item t="default"/>
      </items>
    </pivotField>
    <pivotField dataField="1" numFmtId="164" showAll="0"/>
    <pivotField numFmtId="164" showAll="0"/>
    <pivotField numFmtId="164" showAll="0">
      <items count="15">
        <item x="4"/>
        <item x="5"/>
        <item x="10"/>
        <item x="12"/>
        <item x="3"/>
        <item x="9"/>
        <item x="0"/>
        <item x="11"/>
        <item x="13"/>
        <item x="2"/>
        <item x="7"/>
        <item x="8"/>
        <item x="1"/>
        <item x="6"/>
        <item t="default"/>
      </items>
    </pivotField>
    <pivotField showAll="0"/>
    <pivotField showAll="0"/>
    <pivotField showAll="0"/>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5"/>
  </rowFields>
  <rowItems count="4">
    <i>
      <x/>
    </i>
    <i>
      <x v="4"/>
    </i>
    <i>
      <x v="5"/>
    </i>
    <i t="grand">
      <x/>
    </i>
  </rowItems>
  <colItems count="1">
    <i/>
  </colItems>
  <dataFields count="1">
    <dataField name="Sum of Qty" fld="9" baseField="0" baseItem="0"/>
  </dataFields>
  <chartFormats count="4">
    <chartFormat chart="40" format="0" series="1">
      <pivotArea type="data" outline="0" fieldPosition="0">
        <references count="1">
          <reference field="4294967294" count="1" selected="0">
            <x v="0"/>
          </reference>
        </references>
      </pivotArea>
    </chartFormat>
    <chartFormat chart="42" format="2" series="1">
      <pivotArea type="data" outline="0" fieldPosition="0">
        <references count="1">
          <reference field="4294967294" count="1" selected="0">
            <x v="0"/>
          </reference>
        </references>
      </pivotArea>
    </chartFormat>
    <chartFormat chart="44" format="0" series="1">
      <pivotArea type="data" outline="0" fieldPosition="0">
        <references count="1">
          <reference field="4294967294" count="1" selected="0">
            <x v="0"/>
          </reference>
        </references>
      </pivotArea>
    </chartFormat>
    <chartFormat chart="4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3"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C604D02-F2D1-44BA-8FED-6470BEFF033D}" sourceName="Region">
  <pivotTables>
    <pivotTable tabId="3" name="PivotTable3"/>
    <pivotTable tabId="3" name="PivotTable4"/>
    <pivotTable tabId="3" name="PivotTable5"/>
    <pivotTable tabId="3" name="PivotTable6"/>
    <pivotTable tabId="3" name="PivotTable7"/>
    <pivotTable tabId="3" name="PivotTable8"/>
    <pivotTable tabId="3" name="PivotTable9"/>
    <pivotTable tabId="3" name="PivotTable10"/>
    <pivotTable tabId="3" name="PivotTable11"/>
    <pivotTable tabId="3" name="PivotTable12"/>
    <pivotTable tabId="3" name="PivotTable13"/>
    <pivotTable tabId="3" name="PivotTable14"/>
    <pivotTable tabId="3" name="PivotTable17"/>
    <pivotTable tabId="3" name="PivotTable18"/>
    <pivotTable tabId="3" name="PivotTable1"/>
  </pivotTables>
  <data>
    <tabular pivotCacheId="1825697962">
      <items count="4">
        <i x="0" s="1"/>
        <i x="2"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F97061BD-F4E9-49E9-AAD5-F8DDE7F3FD78}" sourceName="Item">
  <pivotTables>
    <pivotTable tabId="3" name="PivotTable3"/>
    <pivotTable tabId="3" name="PivotTable4"/>
    <pivotTable tabId="3" name="PivotTable5"/>
    <pivotTable tabId="3" name="PivotTable6"/>
    <pivotTable tabId="3" name="PivotTable7"/>
    <pivotTable tabId="3" name="PivotTable8"/>
    <pivotTable tabId="3" name="PivotTable9"/>
    <pivotTable tabId="3" name="PivotTable10"/>
    <pivotTable tabId="3" name="PivotTable13"/>
    <pivotTable tabId="3" name="PivotTable14"/>
    <pivotTable tabId="3" name="PivotTable17"/>
    <pivotTable tabId="3" name="PivotTable18"/>
    <pivotTable tabId="3" name="PivotTable1"/>
  </pivotTables>
  <data>
    <tabular pivotCacheId="1825697962">
      <items count="6">
        <i x="5" s="1"/>
        <i x="2" s="1"/>
        <i x="0" s="1"/>
        <i x="1"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 xr10:uid="{D2D24448-3480-4035-9B1C-2524F8ED250C}" sourceName="Day">
  <pivotTables>
    <pivotTable tabId="3" name="PivotTable9"/>
  </pivotTables>
  <data>
    <tabular pivotCacheId="1825697962">
      <items count="31">
        <i x="0"/>
        <i x="1"/>
        <i x="2"/>
        <i x="3"/>
        <i x="4"/>
        <i x="5"/>
        <i x="6"/>
        <i x="7"/>
        <i x="8"/>
        <i x="9"/>
        <i x="10"/>
        <i x="11" s="1"/>
        <i x="12"/>
        <i x="13"/>
        <i x="14"/>
        <i x="15"/>
        <i x="16"/>
        <i x="17"/>
        <i x="18"/>
        <i x="19"/>
        <i x="20"/>
        <i x="21"/>
        <i x="22"/>
        <i x="23"/>
        <i x="24"/>
        <i x="25"/>
        <i x="26"/>
        <i x="27"/>
        <i x="28"/>
        <i x="29"/>
        <i x="30"/>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F9C9326-CEBF-49FF-A80C-F8EBA4B1F62B}" sourceName="Month">
  <pivotTables>
    <pivotTable tabId="3" name="PivotTable9"/>
  </pivotTables>
  <data>
    <tabular pivotCacheId="1825697962">
      <items count="12">
        <i x="0" s="1"/>
        <i x="1"/>
        <i x="2"/>
        <i x="3"/>
        <i x="4"/>
        <i x="5"/>
        <i x="6"/>
        <i x="7"/>
        <i x="8"/>
        <i x="9"/>
        <i x="10"/>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3" xr10:uid="{4BC96FD1-82A8-49D9-9287-D09A7FD8E220}" cache="Slicer_Region" caption="Region" columnCount="2" rowHeight="241300"/>
  <slicer name="Item 3" xr10:uid="{52365291-89F9-49DD-BAB5-67D490FB906A}" cache="Slicer_Item" caption="Item" columnCount="6" rowHeight="241300"/>
  <slicer name="Day 4" xr10:uid="{BC274B3A-E7F9-4588-BD87-E50C283FDAAB}" cache="Slicer_Day" caption="Day" columnCount="5"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E6F2AE15-7ABD-4489-8787-C906F1F42D28}" cache="Slicer_Region" caption="Region" columnCount="2" rowHeight="241300"/>
  <slicer name="Item 2" xr10:uid="{84C76336-91F0-4542-B2AD-3BCA95B2F6D8}" cache="Slicer_Item" caption="Item" columnCount="6" rowHeight="241300"/>
  <slicer name="Day 2" xr10:uid="{4B656627-A5BC-4250-A219-B57667DDD66C}" cache="Slicer_Day" caption="Day" columnCount="5" showCaption="0"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35DB067-2BA7-44FF-9787-E23B717AA431}" cache="Slicer_Region" caption="Region" columnCount="2" rowHeight="241300"/>
  <slicer name="Item 1" xr10:uid="{F013C2CC-6CC1-4E3A-A930-CEB3CEE95520}" cache="Slicer_Item" caption="Item" columnCount="6" rowHeight="241300"/>
  <slicer name="Day 1" xr10:uid="{0C838815-14BA-4C13-9773-9A9FB192C2E5}" cache="Slicer_Day" caption="Day" columnCount="5" showCaption="0" style="SlicerStyleLight6"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75E284F-4C8A-4DE6-93FE-AB5F1B577E12}" cache="Slicer_Region" caption="Region" rowHeight="241300"/>
  <slicer name="Item" xr10:uid="{37E8116D-9ABB-4639-A013-7B28398D99FE}" cache="Slicer_Item" caption="Item" rowHeight="241300"/>
  <slicer name="Day" xr10:uid="{04F4179D-E1CD-4EF6-80A1-6FAE1DA31E6A}" cache="Slicer_Day" caption="Day" columnCount="5" showCaption="0" rowHeight="241300"/>
  <slicer name="Month" xr10:uid="{9A1A6CE4-07F4-4285-9533-825C43F0D521}" cache="Slicer_Month" caption="Month" startItem="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42FCC1A8-3982-4D3A-9D65-016161050955}" sourceName="Date">
  <pivotTables>
    <pivotTable tabId="3" name="PivotTable3"/>
    <pivotTable tabId="3" name="PivotTable4"/>
    <pivotTable tabId="3" name="PivotTable5"/>
    <pivotTable tabId="3" name="PivotTable6"/>
    <pivotTable tabId="3" name="PivotTable7"/>
    <pivotTable tabId="3" name="PivotTable8"/>
    <pivotTable tabId="3" name="PivotTable9"/>
    <pivotTable tabId="3" name="PivotTable10"/>
    <pivotTable tabId="3" name="PivotTable11"/>
    <pivotTable tabId="3" name="PivotTable12"/>
    <pivotTable tabId="3" name="PivotTable13"/>
    <pivotTable tabId="3" name="PivotTable14"/>
    <pivotTable tabId="3" name="PivotTable17"/>
    <pivotTable tabId="3" name="PivotTable18"/>
    <pivotTable tabId="3" name="PivotTable1"/>
  </pivotTables>
  <state minimalRefreshVersion="6" lastRefreshVersion="6" pivotCacheId="1825697962" filterType="unknown">
    <bounds startDate="2021-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3" xr10:uid="{DA904345-85F5-4F8B-A946-A825ACFF0B96}" cache="NativeTimeline_Date" caption="Date" showSelectionLabel="0" showTimeLevel="0" level="2" selectionLevel="2" scrollPosition="2022-06-07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DD4DDF01-A6AC-422B-93CF-DB622D55B914}" cache="NativeTimeline_Date" caption="Date" showSelectionLabel="0" showTimeLevel="0" level="2" selectionLevel="2" scrollPosition="2022-06-07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5B0F7CA8-14D0-425B-AA38-E72FA8B465A1}" cache="NativeTimeline_Date" caption="Date" showSelectionLabel="0" showTimeLevel="0" level="2" selectionLevel="2" scrollPosition="2023-06-07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DE72DB13-03CA-41A3-814A-B9873BD7CBB0}" cache="NativeTimeline_Date" caption="Date" showSelectionLabel="0" showTimeLevel="0" level="2" selectionLevel="2" scrollPosition="2022-06-07T00:00:00"/>
</timeline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11/relationships/timeline" Target="../timelines/timeline3.xml"/><Relationship Id="rId2" Type="http://schemas.microsoft.com/office/2007/relationships/slicer" Target="../slicers/slicer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microsoft.com/office/2007/relationships/slicer" Target="../slicers/slicer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6.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microsoft.com/office/2011/relationships/timeline" Target="../timelines/timeline4.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41CBF-8E77-4A40-A3BC-EE5B73B9E420}">
  <sheetPr codeName="Sheet6"/>
  <dimension ref="A31:U32"/>
  <sheetViews>
    <sheetView zoomScale="70" zoomScaleNormal="70" workbookViewId="0"/>
  </sheetViews>
  <sheetFormatPr defaultRowHeight="14.5" x14ac:dyDescent="0.35"/>
  <cols>
    <col min="1" max="8" width="8.7265625" style="25"/>
    <col min="9" max="9" width="13.90625" style="25" customWidth="1"/>
    <col min="10" max="10" width="11.36328125" style="25" customWidth="1"/>
    <col min="11" max="11" width="14.1796875" style="25" customWidth="1"/>
    <col min="12" max="12" width="17.90625" style="25" customWidth="1"/>
    <col min="13" max="13" width="8.7265625" style="25"/>
    <col min="14" max="14" width="14.81640625" style="25" customWidth="1"/>
    <col min="15" max="18" width="8.7265625" style="25"/>
    <col min="19" max="19" width="19.08984375" style="25" customWidth="1"/>
    <col min="20" max="20" width="22.453125" style="25" customWidth="1"/>
    <col min="21" max="21" width="16.7265625" style="25" customWidth="1"/>
    <col min="22" max="16384" width="8.7265625" style="25"/>
  </cols>
  <sheetData>
    <row r="31" spans="1:21" ht="63.5" customHeight="1" x14ac:dyDescent="0.35"/>
    <row r="32" spans="1:21" ht="215" customHeight="1" x14ac:dyDescent="0.35">
      <c r="A32" s="26"/>
      <c r="B32" s="26"/>
      <c r="C32" s="26"/>
      <c r="D32" s="26"/>
      <c r="E32" s="26"/>
      <c r="F32" s="26"/>
      <c r="G32" s="26"/>
      <c r="H32" s="26"/>
      <c r="I32" s="26"/>
      <c r="J32" s="26"/>
      <c r="K32" s="26"/>
      <c r="L32" s="26"/>
      <c r="M32" s="26"/>
      <c r="N32" s="26"/>
      <c r="O32" s="26"/>
      <c r="P32" s="26"/>
      <c r="Q32" s="26"/>
      <c r="R32" s="26"/>
      <c r="S32" s="26"/>
      <c r="T32" s="26"/>
      <c r="U32" s="2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257CC-FC4E-4F2B-A242-708F9FCE3232}">
  <sheetPr codeName="Sheet5"/>
  <dimension ref="A1"/>
  <sheetViews>
    <sheetView zoomScaleNormal="100" workbookViewId="0"/>
  </sheetViews>
  <sheetFormatPr defaultRowHeight="14.5" x14ac:dyDescent="0.35"/>
  <cols>
    <col min="1" max="20" width="8.7265625" style="25"/>
    <col min="21" max="21" width="8.54296875" style="25" customWidth="1"/>
    <col min="22" max="16384" width="8.7265625" style="25"/>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12464-6781-44C4-A1E9-CF4ACDD71B64}">
  <sheetPr codeName="Sheet4"/>
  <dimension ref="A1"/>
  <sheetViews>
    <sheetView zoomScaleNormal="100" workbookViewId="0"/>
  </sheetViews>
  <sheetFormatPr defaultRowHeight="14.5" x14ac:dyDescent="0.35"/>
  <cols>
    <col min="1" max="19" width="8.7265625" style="25"/>
    <col min="20" max="20" width="8.7265625" style="25" customWidth="1"/>
    <col min="21" max="21" width="8.54296875" style="25" customWidth="1"/>
    <col min="22" max="16384" width="8.7265625" style="25"/>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9011F-7231-4444-B4D9-0255C67DF690}">
  <sheetPr codeName="Sheet11"/>
  <dimension ref="A1"/>
  <sheetViews>
    <sheetView zoomScaleNormal="100" workbookViewId="0"/>
  </sheetViews>
  <sheetFormatPr defaultRowHeight="14.5" x14ac:dyDescent="0.35"/>
  <cols>
    <col min="1" max="16384" width="8.7265625" style="25"/>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9FB83-3336-4FBB-B59E-D758ABAED837}">
  <sheetPr codeName="Sheet7"/>
  <dimension ref="A1"/>
  <sheetViews>
    <sheetView tabSelected="1" zoomScaleNormal="100" workbookViewId="0"/>
  </sheetViews>
  <sheetFormatPr defaultRowHeight="14.5" x14ac:dyDescent="0.3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64DB-3B71-497D-95C7-A91F9013B448}">
  <sheetPr codeName="Sheet2"/>
  <dimension ref="A2:C187"/>
  <sheetViews>
    <sheetView topLeftCell="A47" workbookViewId="0">
      <selection activeCell="E186" sqref="E186"/>
    </sheetView>
  </sheetViews>
  <sheetFormatPr defaultRowHeight="14.5" x14ac:dyDescent="0.35"/>
  <cols>
    <col min="1" max="1" width="13.90625" customWidth="1"/>
    <col min="2" max="2" width="17.26953125" customWidth="1"/>
    <col min="3" max="3" width="16.54296875" bestFit="1" customWidth="1"/>
  </cols>
  <sheetData>
    <row r="2" spans="1:2" x14ac:dyDescent="0.35">
      <c r="A2" t="s">
        <v>1082</v>
      </c>
    </row>
    <row r="3" spans="1:2" x14ac:dyDescent="0.35">
      <c r="A3" s="21">
        <v>1782570</v>
      </c>
    </row>
    <row r="10" spans="1:2" x14ac:dyDescent="0.35">
      <c r="A10" t="s">
        <v>1082</v>
      </c>
    </row>
    <row r="11" spans="1:2" x14ac:dyDescent="0.35">
      <c r="A11" s="21">
        <v>1782570</v>
      </c>
      <c r="B11" s="22">
        <f>A11</f>
        <v>1782570</v>
      </c>
    </row>
    <row r="13" spans="1:2" x14ac:dyDescent="0.35">
      <c r="A13" t="s">
        <v>1083</v>
      </c>
    </row>
    <row r="14" spans="1:2" x14ac:dyDescent="0.35">
      <c r="A14" s="21">
        <v>366</v>
      </c>
      <c r="B14">
        <f>A14</f>
        <v>366</v>
      </c>
    </row>
    <row r="17" spans="1:2" x14ac:dyDescent="0.35">
      <c r="A17" s="18" t="s">
        <v>1068</v>
      </c>
      <c r="B17" t="s">
        <v>1082</v>
      </c>
    </row>
    <row r="18" spans="1:2" x14ac:dyDescent="0.35">
      <c r="A18" s="19" t="s">
        <v>1070</v>
      </c>
      <c r="B18" s="21">
        <v>143130</v>
      </c>
    </row>
    <row r="19" spans="1:2" x14ac:dyDescent="0.35">
      <c r="A19" s="19" t="s">
        <v>1071</v>
      </c>
      <c r="B19" s="21">
        <v>224470</v>
      </c>
    </row>
    <row r="20" spans="1:2" x14ac:dyDescent="0.35">
      <c r="A20" s="19" t="s">
        <v>1072</v>
      </c>
      <c r="B20" s="21">
        <v>86100</v>
      </c>
    </row>
    <row r="21" spans="1:2" x14ac:dyDescent="0.35">
      <c r="A21" s="19" t="s">
        <v>1073</v>
      </c>
      <c r="B21" s="21">
        <v>153530</v>
      </c>
    </row>
    <row r="22" spans="1:2" x14ac:dyDescent="0.35">
      <c r="A22" s="19" t="s">
        <v>1074</v>
      </c>
      <c r="B22" s="21">
        <v>110160</v>
      </c>
    </row>
    <row r="23" spans="1:2" x14ac:dyDescent="0.35">
      <c r="A23" s="19" t="s">
        <v>1075</v>
      </c>
      <c r="B23" s="21">
        <v>118530</v>
      </c>
    </row>
    <row r="24" spans="1:2" x14ac:dyDescent="0.35">
      <c r="A24" s="19" t="s">
        <v>1076</v>
      </c>
      <c r="B24" s="21">
        <v>130100</v>
      </c>
    </row>
    <row r="25" spans="1:2" x14ac:dyDescent="0.35">
      <c r="A25" s="19" t="s">
        <v>1077</v>
      </c>
      <c r="B25" s="21">
        <v>156300</v>
      </c>
    </row>
    <row r="26" spans="1:2" x14ac:dyDescent="0.35">
      <c r="A26" s="19" t="s">
        <v>1078</v>
      </c>
      <c r="B26" s="21">
        <v>223770</v>
      </c>
    </row>
    <row r="27" spans="1:2" x14ac:dyDescent="0.35">
      <c r="A27" s="19" t="s">
        <v>1079</v>
      </c>
      <c r="B27" s="21">
        <v>197350</v>
      </c>
    </row>
    <row r="28" spans="1:2" x14ac:dyDescent="0.35">
      <c r="A28" s="19" t="s">
        <v>1080</v>
      </c>
      <c r="B28" s="21">
        <v>31520</v>
      </c>
    </row>
    <row r="29" spans="1:2" x14ac:dyDescent="0.35">
      <c r="A29" s="19" t="s">
        <v>1081</v>
      </c>
      <c r="B29" s="21">
        <v>207610</v>
      </c>
    </row>
    <row r="30" spans="1:2" x14ac:dyDescent="0.35">
      <c r="A30" s="19" t="s">
        <v>1069</v>
      </c>
      <c r="B30" s="21">
        <v>1782570</v>
      </c>
    </row>
    <row r="33" spans="1:2" x14ac:dyDescent="0.35">
      <c r="A33" s="18" t="s">
        <v>1068</v>
      </c>
      <c r="B33" t="s">
        <v>1082</v>
      </c>
    </row>
    <row r="34" spans="1:2" x14ac:dyDescent="0.35">
      <c r="A34" s="20" t="s">
        <v>9</v>
      </c>
      <c r="B34" s="21">
        <v>736080</v>
      </c>
    </row>
    <row r="35" spans="1:2" x14ac:dyDescent="0.35">
      <c r="A35" s="20" t="s">
        <v>22</v>
      </c>
      <c r="B35" s="21">
        <v>203680</v>
      </c>
    </row>
    <row r="36" spans="1:2" x14ac:dyDescent="0.35">
      <c r="A36" s="20" t="s">
        <v>23</v>
      </c>
      <c r="B36" s="21">
        <v>335480</v>
      </c>
    </row>
    <row r="37" spans="1:2" x14ac:dyDescent="0.35">
      <c r="A37" s="20" t="s">
        <v>12</v>
      </c>
      <c r="B37" s="21">
        <v>507330</v>
      </c>
    </row>
    <row r="38" spans="1:2" x14ac:dyDescent="0.35">
      <c r="A38" s="20" t="s">
        <v>1069</v>
      </c>
      <c r="B38" s="21">
        <v>1782570</v>
      </c>
    </row>
    <row r="51" spans="1:3" x14ac:dyDescent="0.35">
      <c r="A51" s="18" t="s">
        <v>1068</v>
      </c>
      <c r="B51" t="s">
        <v>1082</v>
      </c>
    </row>
    <row r="52" spans="1:3" x14ac:dyDescent="0.35">
      <c r="A52" s="20" t="s">
        <v>21</v>
      </c>
      <c r="B52" s="23">
        <v>1.4204210774331443E-2</v>
      </c>
    </row>
    <row r="53" spans="1:3" x14ac:dyDescent="0.35">
      <c r="A53" s="20" t="s">
        <v>15</v>
      </c>
      <c r="B53" s="23">
        <v>0.19017485989330013</v>
      </c>
    </row>
    <row r="54" spans="1:3" x14ac:dyDescent="0.35">
      <c r="A54" s="20" t="s">
        <v>10</v>
      </c>
      <c r="B54" s="23">
        <v>3.7109342129621838E-2</v>
      </c>
    </row>
    <row r="55" spans="1:3" x14ac:dyDescent="0.35">
      <c r="A55" s="20" t="s">
        <v>13</v>
      </c>
      <c r="B55" s="23">
        <v>0.52424308722799107</v>
      </c>
    </row>
    <row r="56" spans="1:3" x14ac:dyDescent="0.35">
      <c r="A56" s="20" t="s">
        <v>17</v>
      </c>
      <c r="B56" s="23">
        <v>0.1975798986856056</v>
      </c>
    </row>
    <row r="57" spans="1:3" x14ac:dyDescent="0.35">
      <c r="A57" s="20" t="s">
        <v>19</v>
      </c>
      <c r="B57" s="23">
        <v>3.6688601289149934E-2</v>
      </c>
    </row>
    <row r="58" spans="1:3" x14ac:dyDescent="0.35">
      <c r="A58" s="20" t="s">
        <v>1069</v>
      </c>
      <c r="B58" s="23">
        <v>1</v>
      </c>
    </row>
    <row r="61" spans="1:3" x14ac:dyDescent="0.35">
      <c r="B61" t="s">
        <v>1084</v>
      </c>
    </row>
    <row r="62" spans="1:3" x14ac:dyDescent="0.35">
      <c r="B62" s="21">
        <v>2</v>
      </c>
      <c r="C62" s="22">
        <f>B62</f>
        <v>2</v>
      </c>
    </row>
    <row r="73" spans="1:2" x14ac:dyDescent="0.35">
      <c r="A73" s="18" t="s">
        <v>1068</v>
      </c>
      <c r="B73" t="s">
        <v>1084</v>
      </c>
    </row>
    <row r="74" spans="1:2" x14ac:dyDescent="0.35">
      <c r="A74" s="20" t="s">
        <v>21</v>
      </c>
      <c r="B74" s="21">
        <v>132</v>
      </c>
    </row>
    <row r="75" spans="1:2" x14ac:dyDescent="0.35">
      <c r="A75" s="20" t="s">
        <v>15</v>
      </c>
      <c r="B75" s="21">
        <v>251</v>
      </c>
    </row>
    <row r="76" spans="1:2" x14ac:dyDescent="0.35">
      <c r="A76" s="20" t="s">
        <v>10</v>
      </c>
      <c r="B76" s="21">
        <v>319</v>
      </c>
    </row>
    <row r="77" spans="1:2" x14ac:dyDescent="0.35">
      <c r="A77" s="20" t="s">
        <v>13</v>
      </c>
      <c r="B77" s="21">
        <v>445</v>
      </c>
    </row>
    <row r="78" spans="1:2" x14ac:dyDescent="0.35">
      <c r="A78" s="20" t="s">
        <v>17</v>
      </c>
      <c r="B78" s="21">
        <v>242</v>
      </c>
    </row>
    <row r="79" spans="1:2" x14ac:dyDescent="0.35">
      <c r="A79" s="20" t="s">
        <v>19</v>
      </c>
      <c r="B79" s="21">
        <v>218</v>
      </c>
    </row>
    <row r="80" spans="1:2" x14ac:dyDescent="0.35">
      <c r="A80" s="20" t="s">
        <v>1069</v>
      </c>
      <c r="B80" s="21">
        <v>1607</v>
      </c>
    </row>
    <row r="86" spans="1:2" x14ac:dyDescent="0.35">
      <c r="A86" s="18" t="s">
        <v>1068</v>
      </c>
      <c r="B86" t="s">
        <v>1084</v>
      </c>
    </row>
    <row r="87" spans="1:2" x14ac:dyDescent="0.35">
      <c r="A87" s="20" t="s">
        <v>15</v>
      </c>
      <c r="B87" s="21">
        <v>251</v>
      </c>
    </row>
    <row r="88" spans="1:2" x14ac:dyDescent="0.35">
      <c r="A88" s="20" t="s">
        <v>10</v>
      </c>
      <c r="B88" s="21">
        <v>319</v>
      </c>
    </row>
    <row r="89" spans="1:2" x14ac:dyDescent="0.35">
      <c r="A89" s="20" t="s">
        <v>13</v>
      </c>
      <c r="B89" s="21">
        <v>445</v>
      </c>
    </row>
    <row r="90" spans="1:2" x14ac:dyDescent="0.35">
      <c r="A90" s="20" t="s">
        <v>1069</v>
      </c>
      <c r="B90" s="21">
        <v>1015</v>
      </c>
    </row>
    <row r="100" spans="1:2" x14ac:dyDescent="0.35">
      <c r="A100" s="18" t="s">
        <v>1068</v>
      </c>
      <c r="B100" t="s">
        <v>1084</v>
      </c>
    </row>
    <row r="101" spans="1:2" x14ac:dyDescent="0.35">
      <c r="A101" s="20" t="s">
        <v>21</v>
      </c>
      <c r="B101" s="21">
        <v>132</v>
      </c>
    </row>
    <row r="102" spans="1:2" x14ac:dyDescent="0.35">
      <c r="A102" s="20" t="s">
        <v>17</v>
      </c>
      <c r="B102" s="21">
        <v>242</v>
      </c>
    </row>
    <row r="103" spans="1:2" x14ac:dyDescent="0.35">
      <c r="A103" s="20" t="s">
        <v>19</v>
      </c>
      <c r="B103" s="21">
        <v>218</v>
      </c>
    </row>
    <row r="104" spans="1:2" x14ac:dyDescent="0.35">
      <c r="A104" s="20" t="s">
        <v>1069</v>
      </c>
      <c r="B104" s="21">
        <v>592</v>
      </c>
    </row>
    <row r="109" spans="1:2" x14ac:dyDescent="0.35">
      <c r="A109" s="18" t="s">
        <v>1068</v>
      </c>
      <c r="B109" t="s">
        <v>1082</v>
      </c>
    </row>
    <row r="110" spans="1:2" x14ac:dyDescent="0.35">
      <c r="A110" s="20" t="s">
        <v>8</v>
      </c>
      <c r="B110" s="21">
        <v>386030</v>
      </c>
    </row>
    <row r="111" spans="1:2" x14ac:dyDescent="0.35">
      <c r="A111" s="20" t="s">
        <v>16</v>
      </c>
      <c r="B111" s="21">
        <v>184690</v>
      </c>
    </row>
    <row r="112" spans="1:2" x14ac:dyDescent="0.35">
      <c r="A112" s="20" t="s">
        <v>18</v>
      </c>
      <c r="B112" s="21">
        <v>125600</v>
      </c>
    </row>
    <row r="113" spans="1:2" x14ac:dyDescent="0.35">
      <c r="A113" s="20" t="s">
        <v>14</v>
      </c>
      <c r="B113" s="21">
        <v>139880</v>
      </c>
    </row>
    <row r="114" spans="1:2" x14ac:dyDescent="0.35">
      <c r="A114" s="20" t="s">
        <v>11</v>
      </c>
      <c r="B114" s="21">
        <v>394410</v>
      </c>
    </row>
    <row r="115" spans="1:2" x14ac:dyDescent="0.35">
      <c r="A115" s="20" t="s">
        <v>20</v>
      </c>
      <c r="B115" s="21">
        <v>551960</v>
      </c>
    </row>
    <row r="116" spans="1:2" x14ac:dyDescent="0.35">
      <c r="A116" s="20" t="s">
        <v>1069</v>
      </c>
      <c r="B116" s="21">
        <v>1782570</v>
      </c>
    </row>
    <row r="122" spans="1:2" x14ac:dyDescent="0.35">
      <c r="A122" s="18" t="s">
        <v>1068</v>
      </c>
      <c r="B122" t="s">
        <v>1084</v>
      </c>
    </row>
    <row r="123" spans="1:2" x14ac:dyDescent="0.35">
      <c r="A123" s="20" t="s">
        <v>8</v>
      </c>
      <c r="B123" s="21">
        <v>394</v>
      </c>
    </row>
    <row r="124" spans="1:2" x14ac:dyDescent="0.35">
      <c r="A124" s="20" t="s">
        <v>11</v>
      </c>
      <c r="B124" s="21">
        <v>360</v>
      </c>
    </row>
    <row r="125" spans="1:2" x14ac:dyDescent="0.35">
      <c r="A125" s="20" t="s">
        <v>20</v>
      </c>
      <c r="B125" s="21">
        <v>419</v>
      </c>
    </row>
    <row r="126" spans="1:2" x14ac:dyDescent="0.35">
      <c r="A126" s="20" t="s">
        <v>1069</v>
      </c>
      <c r="B126" s="21">
        <v>1173</v>
      </c>
    </row>
    <row r="136" spans="1:2" x14ac:dyDescent="0.35">
      <c r="A136" s="18" t="s">
        <v>1068</v>
      </c>
      <c r="B136" t="s">
        <v>1084</v>
      </c>
    </row>
    <row r="137" spans="1:2" x14ac:dyDescent="0.35">
      <c r="A137" s="20" t="s">
        <v>16</v>
      </c>
      <c r="B137" s="21">
        <v>146</v>
      </c>
    </row>
    <row r="138" spans="1:2" x14ac:dyDescent="0.35">
      <c r="A138" s="20" t="s">
        <v>18</v>
      </c>
      <c r="B138" s="21">
        <v>144</v>
      </c>
    </row>
    <row r="139" spans="1:2" x14ac:dyDescent="0.35">
      <c r="A139" s="20" t="s">
        <v>14</v>
      </c>
      <c r="B139" s="21">
        <v>144</v>
      </c>
    </row>
    <row r="140" spans="1:2" x14ac:dyDescent="0.35">
      <c r="A140" s="20" t="s">
        <v>1069</v>
      </c>
      <c r="B140" s="21">
        <v>434</v>
      </c>
    </row>
    <row r="147" spans="1:3" x14ac:dyDescent="0.35">
      <c r="A147" s="18" t="s">
        <v>1068</v>
      </c>
      <c r="B147" t="s">
        <v>1084</v>
      </c>
    </row>
    <row r="148" spans="1:3" x14ac:dyDescent="0.35">
      <c r="A148" s="20" t="s">
        <v>26</v>
      </c>
      <c r="B148" s="21">
        <v>810</v>
      </c>
    </row>
    <row r="149" spans="1:3" x14ac:dyDescent="0.35">
      <c r="A149" s="20" t="s">
        <v>25</v>
      </c>
      <c r="B149" s="21">
        <v>797</v>
      </c>
    </row>
    <row r="150" spans="1:3" x14ac:dyDescent="0.35">
      <c r="A150" s="20" t="s">
        <v>1069</v>
      </c>
      <c r="B150" s="21">
        <v>1607</v>
      </c>
    </row>
    <row r="155" spans="1:3" x14ac:dyDescent="0.35">
      <c r="A155" s="18" t="s">
        <v>1068</v>
      </c>
      <c r="B155" t="s">
        <v>1085</v>
      </c>
      <c r="C155" t="s">
        <v>1117</v>
      </c>
    </row>
    <row r="156" spans="1:3" x14ac:dyDescent="0.35">
      <c r="A156" s="20" t="s">
        <v>1086</v>
      </c>
      <c r="B156" s="21">
        <v>13</v>
      </c>
      <c r="C156" s="21">
        <v>13</v>
      </c>
    </row>
    <row r="157" spans="1:3" x14ac:dyDescent="0.35">
      <c r="A157" s="20" t="s">
        <v>1087</v>
      </c>
      <c r="B157" s="21">
        <v>12</v>
      </c>
      <c r="C157" s="21">
        <v>12</v>
      </c>
    </row>
    <row r="158" spans="1:3" x14ac:dyDescent="0.35">
      <c r="A158" s="20" t="s">
        <v>1088</v>
      </c>
      <c r="B158" s="21">
        <v>12</v>
      </c>
      <c r="C158" s="21">
        <v>12</v>
      </c>
    </row>
    <row r="159" spans="1:3" x14ac:dyDescent="0.35">
      <c r="A159" s="20" t="s">
        <v>1089</v>
      </c>
      <c r="B159" s="21">
        <v>12</v>
      </c>
      <c r="C159" s="21">
        <v>12</v>
      </c>
    </row>
    <row r="160" spans="1:3" x14ac:dyDescent="0.35">
      <c r="A160" s="20" t="s">
        <v>1090</v>
      </c>
      <c r="B160" s="21">
        <v>12</v>
      </c>
      <c r="C160" s="21">
        <v>12</v>
      </c>
    </row>
    <row r="161" spans="1:3" x14ac:dyDescent="0.35">
      <c r="A161" s="20" t="s">
        <v>1091</v>
      </c>
      <c r="B161" s="21">
        <v>12</v>
      </c>
      <c r="C161" s="21">
        <v>12</v>
      </c>
    </row>
    <row r="162" spans="1:3" x14ac:dyDescent="0.35">
      <c r="A162" s="20" t="s">
        <v>1092</v>
      </c>
      <c r="B162" s="21">
        <v>12</v>
      </c>
      <c r="C162" s="21">
        <v>12</v>
      </c>
    </row>
    <row r="163" spans="1:3" x14ac:dyDescent="0.35">
      <c r="A163" s="20" t="s">
        <v>1093</v>
      </c>
      <c r="B163" s="21">
        <v>12</v>
      </c>
      <c r="C163" s="21">
        <v>12</v>
      </c>
    </row>
    <row r="164" spans="1:3" x14ac:dyDescent="0.35">
      <c r="A164" s="20" t="s">
        <v>1094</v>
      </c>
      <c r="B164" s="21">
        <v>12</v>
      </c>
      <c r="C164" s="21">
        <v>12</v>
      </c>
    </row>
    <row r="165" spans="1:3" x14ac:dyDescent="0.35">
      <c r="A165" s="20" t="s">
        <v>1095</v>
      </c>
      <c r="B165" s="21">
        <v>12</v>
      </c>
      <c r="C165" s="21">
        <v>12</v>
      </c>
    </row>
    <row r="166" spans="1:3" x14ac:dyDescent="0.35">
      <c r="A166" s="20" t="s">
        <v>1096</v>
      </c>
      <c r="B166" s="21">
        <v>12</v>
      </c>
      <c r="C166" s="21">
        <v>12</v>
      </c>
    </row>
    <row r="167" spans="1:3" x14ac:dyDescent="0.35">
      <c r="A167" s="20" t="s">
        <v>1097</v>
      </c>
      <c r="B167" s="21">
        <v>12</v>
      </c>
      <c r="C167" s="21">
        <v>12</v>
      </c>
    </row>
    <row r="168" spans="1:3" x14ac:dyDescent="0.35">
      <c r="A168" s="20" t="s">
        <v>1098</v>
      </c>
      <c r="B168" s="21">
        <v>12</v>
      </c>
      <c r="C168" s="21">
        <v>12</v>
      </c>
    </row>
    <row r="169" spans="1:3" x14ac:dyDescent="0.35">
      <c r="A169" s="20" t="s">
        <v>1099</v>
      </c>
      <c r="B169" s="21">
        <v>12</v>
      </c>
      <c r="C169" s="21">
        <v>12</v>
      </c>
    </row>
    <row r="170" spans="1:3" x14ac:dyDescent="0.35">
      <c r="A170" s="20" t="s">
        <v>1100</v>
      </c>
      <c r="B170" s="21">
        <v>12</v>
      </c>
      <c r="C170" s="21">
        <v>12</v>
      </c>
    </row>
    <row r="171" spans="1:3" x14ac:dyDescent="0.35">
      <c r="A171" s="20" t="s">
        <v>1101</v>
      </c>
      <c r="B171" s="21">
        <v>12</v>
      </c>
      <c r="C171" s="21">
        <v>12</v>
      </c>
    </row>
    <row r="172" spans="1:3" x14ac:dyDescent="0.35">
      <c r="A172" s="20" t="s">
        <v>1102</v>
      </c>
      <c r="B172" s="21">
        <v>12</v>
      </c>
      <c r="C172" s="21">
        <v>12</v>
      </c>
    </row>
    <row r="173" spans="1:3" x14ac:dyDescent="0.35">
      <c r="A173" s="20" t="s">
        <v>1103</v>
      </c>
      <c r="B173" s="21">
        <v>12</v>
      </c>
      <c r="C173" s="21">
        <v>12</v>
      </c>
    </row>
    <row r="174" spans="1:3" x14ac:dyDescent="0.35">
      <c r="A174" s="20" t="s">
        <v>1104</v>
      </c>
      <c r="B174" s="21">
        <v>12</v>
      </c>
      <c r="C174" s="21">
        <v>12</v>
      </c>
    </row>
    <row r="175" spans="1:3" x14ac:dyDescent="0.35">
      <c r="A175" s="20" t="s">
        <v>1105</v>
      </c>
      <c r="B175" s="21">
        <v>12</v>
      </c>
      <c r="C175" s="21">
        <v>12</v>
      </c>
    </row>
    <row r="176" spans="1:3" x14ac:dyDescent="0.35">
      <c r="A176" s="20" t="s">
        <v>1106</v>
      </c>
      <c r="B176" s="21">
        <v>12</v>
      </c>
      <c r="C176" s="21">
        <v>12</v>
      </c>
    </row>
    <row r="177" spans="1:3" x14ac:dyDescent="0.35">
      <c r="A177" s="20" t="s">
        <v>1107</v>
      </c>
      <c r="B177" s="21">
        <v>12</v>
      </c>
      <c r="C177" s="21">
        <v>12</v>
      </c>
    </row>
    <row r="178" spans="1:3" x14ac:dyDescent="0.35">
      <c r="A178" s="20" t="s">
        <v>1108</v>
      </c>
      <c r="B178" s="21">
        <v>12</v>
      </c>
      <c r="C178" s="21">
        <v>12</v>
      </c>
    </row>
    <row r="179" spans="1:3" x14ac:dyDescent="0.35">
      <c r="A179" s="20" t="s">
        <v>1109</v>
      </c>
      <c r="B179" s="21">
        <v>12</v>
      </c>
      <c r="C179" s="21">
        <v>12</v>
      </c>
    </row>
    <row r="180" spans="1:3" x14ac:dyDescent="0.35">
      <c r="A180" s="20" t="s">
        <v>1110</v>
      </c>
      <c r="B180" s="21">
        <v>12</v>
      </c>
      <c r="C180" s="21">
        <v>12</v>
      </c>
    </row>
    <row r="181" spans="1:3" x14ac:dyDescent="0.35">
      <c r="A181" s="20" t="s">
        <v>1111</v>
      </c>
      <c r="B181" s="21">
        <v>12</v>
      </c>
      <c r="C181" s="21">
        <v>12</v>
      </c>
    </row>
    <row r="182" spans="1:3" x14ac:dyDescent="0.35">
      <c r="A182" s="20" t="s">
        <v>1112</v>
      </c>
      <c r="B182" s="21">
        <v>12</v>
      </c>
      <c r="C182" s="21">
        <v>12</v>
      </c>
    </row>
    <row r="183" spans="1:3" x14ac:dyDescent="0.35">
      <c r="A183" s="20" t="s">
        <v>1113</v>
      </c>
      <c r="B183" s="21">
        <v>12</v>
      </c>
      <c r="C183" s="21">
        <v>12</v>
      </c>
    </row>
    <row r="184" spans="1:3" x14ac:dyDescent="0.35">
      <c r="A184" s="20" t="s">
        <v>1114</v>
      </c>
      <c r="B184" s="21">
        <v>11</v>
      </c>
      <c r="C184" s="21">
        <v>11</v>
      </c>
    </row>
    <row r="185" spans="1:3" x14ac:dyDescent="0.35">
      <c r="A185" s="20" t="s">
        <v>1115</v>
      </c>
      <c r="B185" s="21">
        <v>11</v>
      </c>
      <c r="C185" s="21">
        <v>11</v>
      </c>
    </row>
    <row r="186" spans="1:3" x14ac:dyDescent="0.35">
      <c r="A186" s="20" t="s">
        <v>1116</v>
      </c>
      <c r="B186" s="21">
        <v>7</v>
      </c>
      <c r="C186" s="21">
        <v>7</v>
      </c>
    </row>
    <row r="187" spans="1:3" x14ac:dyDescent="0.35">
      <c r="A187" s="20" t="s">
        <v>1069</v>
      </c>
      <c r="B187" s="21">
        <v>366</v>
      </c>
      <c r="C187" s="21">
        <v>366</v>
      </c>
    </row>
  </sheetData>
  <pageMargins left="0.7" right="0.7" top="0.75" bottom="0.75" header="0.3" footer="0.3"/>
  <pageSetup orientation="portrait" r:id="rId16"/>
  <drawing r:id="rId17"/>
  <extLst>
    <ext xmlns:x14="http://schemas.microsoft.com/office/spreadsheetml/2009/9/main" uri="{A8765BA9-456A-4dab-B4F3-ACF838C121DE}">
      <x14:slicerList>
        <x14:slicer r:id="rId18"/>
      </x14:slicerList>
    </ext>
    <ext xmlns:x15="http://schemas.microsoft.com/office/spreadsheetml/2010/11/main" uri="{7E03D99C-DC04-49d9-9315-930204A7B6E9}">
      <x15:timelineRefs>
        <x15:timelineRef r:id="rId19"/>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0F953-3DB7-4560-89A9-7895AE60AFD2}">
  <sheetPr codeName="Sheet3"/>
  <dimension ref="A1:N1037"/>
  <sheetViews>
    <sheetView zoomScale="70" zoomScaleNormal="70" workbookViewId="0">
      <selection activeCell="P16" sqref="P16"/>
    </sheetView>
  </sheetViews>
  <sheetFormatPr defaultRowHeight="14.5" x14ac:dyDescent="0.35"/>
  <cols>
    <col min="1" max="1" width="10.81640625" customWidth="1"/>
    <col min="3" max="5" width="16" customWidth="1"/>
    <col min="6" max="6" width="15.54296875" customWidth="1"/>
    <col min="9" max="9" width="11.453125" customWidth="1"/>
    <col min="10" max="10" width="11.81640625" customWidth="1"/>
    <col min="11" max="11" width="15.81640625" customWidth="1"/>
    <col min="12" max="12" width="18.26953125" customWidth="1"/>
    <col min="13" max="13" width="15.7265625" customWidth="1"/>
    <col min="14" max="14" width="16.453125" customWidth="1"/>
  </cols>
  <sheetData>
    <row r="1" spans="1:14" ht="18.5" x14ac:dyDescent="0.45">
      <c r="A1" s="1" t="s">
        <v>0</v>
      </c>
      <c r="B1" s="11" t="s">
        <v>27</v>
      </c>
      <c r="C1" s="2" t="s">
        <v>1</v>
      </c>
      <c r="D1" s="2" t="s">
        <v>1066</v>
      </c>
      <c r="E1" s="2" t="s">
        <v>1067</v>
      </c>
      <c r="F1" s="3" t="s">
        <v>2</v>
      </c>
      <c r="G1" s="3" t="s">
        <v>3</v>
      </c>
      <c r="H1" s="3" t="s">
        <v>4</v>
      </c>
      <c r="I1" s="4" t="s">
        <v>5</v>
      </c>
      <c r="J1" s="4" t="s">
        <v>6</v>
      </c>
      <c r="K1" s="4" t="s">
        <v>7</v>
      </c>
      <c r="L1" s="9" t="s">
        <v>24</v>
      </c>
      <c r="M1" s="9" t="s">
        <v>1064</v>
      </c>
      <c r="N1" s="15" t="s">
        <v>1065</v>
      </c>
    </row>
    <row r="2" spans="1:14" x14ac:dyDescent="0.35">
      <c r="A2" s="5">
        <v>1</v>
      </c>
      <c r="B2" s="12" t="s">
        <v>28</v>
      </c>
      <c r="C2" s="6">
        <v>44197</v>
      </c>
      <c r="D2" s="6" t="str">
        <f>TEXT(C2,"dd")</f>
        <v>01</v>
      </c>
      <c r="E2" s="6" t="str">
        <f>TEXT(C2,"mmm")</f>
        <v>Jan</v>
      </c>
      <c r="F2" s="7" t="s">
        <v>8</v>
      </c>
      <c r="G2" s="7" t="s">
        <v>9</v>
      </c>
      <c r="H2" s="7" t="s">
        <v>10</v>
      </c>
      <c r="I2" s="8">
        <v>7</v>
      </c>
      <c r="J2" s="8">
        <v>210</v>
      </c>
      <c r="K2" s="8">
        <f>I2*J2</f>
        <v>1470</v>
      </c>
      <c r="L2" s="5" t="s">
        <v>25</v>
      </c>
      <c r="M2" s="7" t="b">
        <f ca="1">AND(A2&gt;=(TODAY()-28),A2&lt;TODAY())</f>
        <v>0</v>
      </c>
      <c r="N2" s="16" t="b">
        <f ca="1">AND(A2&gt;=(TODAY()-56),A2&lt;(TODAY()-28))</f>
        <v>0</v>
      </c>
    </row>
    <row r="3" spans="1:14" x14ac:dyDescent="0.35">
      <c r="A3" s="5">
        <v>2</v>
      </c>
      <c r="B3" s="12" t="s">
        <v>29</v>
      </c>
      <c r="C3" s="6">
        <v>44198</v>
      </c>
      <c r="D3" s="6" t="str">
        <f t="shared" ref="D3:D66" si="0">TEXT(C3,"dd")</f>
        <v>02</v>
      </c>
      <c r="E3" s="6" t="str">
        <f t="shared" ref="E3:E66" si="1">TEXT(C3,"mmm")</f>
        <v>Jan</v>
      </c>
      <c r="F3" s="7" t="s">
        <v>11</v>
      </c>
      <c r="G3" s="7" t="s">
        <v>12</v>
      </c>
      <c r="H3" s="7" t="s">
        <v>13</v>
      </c>
      <c r="I3" s="8">
        <v>6</v>
      </c>
      <c r="J3" s="8">
        <v>2100</v>
      </c>
      <c r="K3" s="8">
        <f t="shared" ref="K3:K66" si="2">I3*J3</f>
        <v>12600</v>
      </c>
      <c r="L3" s="5" t="s">
        <v>26</v>
      </c>
      <c r="M3" s="7" t="b">
        <f t="shared" ref="M3:M66" ca="1" si="3">AND(A3&gt;=(TODAY()-28),A3&lt;TODAY())</f>
        <v>0</v>
      </c>
      <c r="N3" s="16" t="b">
        <f t="shared" ref="N3:N66" ca="1" si="4">AND(A3&gt;=(TODAY()-56),A3&lt;(TODAY()-28))</f>
        <v>0</v>
      </c>
    </row>
    <row r="4" spans="1:14" x14ac:dyDescent="0.35">
      <c r="A4" s="5">
        <v>3</v>
      </c>
      <c r="B4" s="12" t="s">
        <v>30</v>
      </c>
      <c r="C4" s="6">
        <v>44199</v>
      </c>
      <c r="D4" s="6" t="str">
        <f t="shared" si="0"/>
        <v>03</v>
      </c>
      <c r="E4" s="6" t="str">
        <f t="shared" si="1"/>
        <v>Jan</v>
      </c>
      <c r="F4" s="7" t="s">
        <v>14</v>
      </c>
      <c r="G4" s="7" t="s">
        <v>9</v>
      </c>
      <c r="H4" s="7" t="s">
        <v>15</v>
      </c>
      <c r="I4" s="8">
        <v>5</v>
      </c>
      <c r="J4" s="8">
        <v>1200</v>
      </c>
      <c r="K4" s="8">
        <f t="shared" si="2"/>
        <v>6000</v>
      </c>
      <c r="L4" s="5" t="s">
        <v>25</v>
      </c>
      <c r="M4" s="7" t="b">
        <f t="shared" ca="1" si="3"/>
        <v>0</v>
      </c>
      <c r="N4" s="16" t="b">
        <f t="shared" ca="1" si="4"/>
        <v>0</v>
      </c>
    </row>
    <row r="5" spans="1:14" x14ac:dyDescent="0.35">
      <c r="A5" s="5">
        <v>4</v>
      </c>
      <c r="B5" s="12" t="s">
        <v>31</v>
      </c>
      <c r="C5" s="6">
        <v>44200</v>
      </c>
      <c r="D5" s="6" t="str">
        <f t="shared" si="0"/>
        <v>04</v>
      </c>
      <c r="E5" s="6" t="str">
        <f t="shared" si="1"/>
        <v>Jan</v>
      </c>
      <c r="F5" s="7" t="s">
        <v>16</v>
      </c>
      <c r="G5" s="7" t="s">
        <v>12</v>
      </c>
      <c r="H5" s="7" t="s">
        <v>17</v>
      </c>
      <c r="I5" s="8">
        <v>4</v>
      </c>
      <c r="J5" s="8">
        <v>1500</v>
      </c>
      <c r="K5" s="8">
        <f t="shared" si="2"/>
        <v>6000</v>
      </c>
      <c r="L5" s="5" t="s">
        <v>26</v>
      </c>
      <c r="M5" s="7" t="b">
        <f t="shared" ca="1" si="3"/>
        <v>0</v>
      </c>
      <c r="N5" s="16" t="b">
        <f t="shared" ca="1" si="4"/>
        <v>0</v>
      </c>
    </row>
    <row r="6" spans="1:14" x14ac:dyDescent="0.35">
      <c r="A6" s="5">
        <v>5</v>
      </c>
      <c r="B6" s="12" t="s">
        <v>32</v>
      </c>
      <c r="C6" s="6">
        <v>44201</v>
      </c>
      <c r="D6" s="6" t="str">
        <f t="shared" si="0"/>
        <v>05</v>
      </c>
      <c r="E6" s="6" t="str">
        <f t="shared" si="1"/>
        <v>Jan</v>
      </c>
      <c r="F6" s="7" t="s">
        <v>18</v>
      </c>
      <c r="G6" s="7" t="s">
        <v>9</v>
      </c>
      <c r="H6" s="7" t="s">
        <v>19</v>
      </c>
      <c r="I6" s="8">
        <v>3</v>
      </c>
      <c r="J6" s="8">
        <v>300</v>
      </c>
      <c r="K6" s="8">
        <f t="shared" si="2"/>
        <v>900</v>
      </c>
      <c r="L6" s="5" t="s">
        <v>25</v>
      </c>
      <c r="M6" s="7" t="b">
        <f t="shared" ca="1" si="3"/>
        <v>0</v>
      </c>
      <c r="N6" s="16" t="b">
        <f t="shared" ca="1" si="4"/>
        <v>0</v>
      </c>
    </row>
    <row r="7" spans="1:14" x14ac:dyDescent="0.35">
      <c r="A7" s="5">
        <v>6</v>
      </c>
      <c r="B7" s="12" t="s">
        <v>33</v>
      </c>
      <c r="C7" s="6">
        <v>44202</v>
      </c>
      <c r="D7" s="6" t="str">
        <f t="shared" si="0"/>
        <v>06</v>
      </c>
      <c r="E7" s="6" t="str">
        <f t="shared" si="1"/>
        <v>Jan</v>
      </c>
      <c r="F7" s="7" t="s">
        <v>20</v>
      </c>
      <c r="G7" s="7" t="s">
        <v>9</v>
      </c>
      <c r="H7" s="7" t="s">
        <v>21</v>
      </c>
      <c r="I7" s="8">
        <v>2</v>
      </c>
      <c r="J7" s="8">
        <v>190</v>
      </c>
      <c r="K7" s="8">
        <f t="shared" si="2"/>
        <v>380</v>
      </c>
      <c r="L7" s="5" t="s">
        <v>26</v>
      </c>
      <c r="M7" s="7" t="b">
        <f t="shared" ca="1" si="3"/>
        <v>0</v>
      </c>
      <c r="N7" s="16" t="b">
        <f ca="1">AND(A7&gt;=(TODAY()-56),A7&lt;(TODAY()-28))</f>
        <v>0</v>
      </c>
    </row>
    <row r="8" spans="1:14" x14ac:dyDescent="0.35">
      <c r="A8" s="5">
        <v>7</v>
      </c>
      <c r="B8" s="12" t="s">
        <v>34</v>
      </c>
      <c r="C8" s="6">
        <v>44203</v>
      </c>
      <c r="D8" s="6" t="str">
        <f t="shared" si="0"/>
        <v>07</v>
      </c>
      <c r="E8" s="6" t="str">
        <f t="shared" si="1"/>
        <v>Jan</v>
      </c>
      <c r="F8" s="7" t="s">
        <v>8</v>
      </c>
      <c r="G8" s="7" t="s">
        <v>9</v>
      </c>
      <c r="H8" s="7" t="s">
        <v>10</v>
      </c>
      <c r="I8" s="8">
        <v>7</v>
      </c>
      <c r="J8" s="8">
        <v>210</v>
      </c>
      <c r="K8" s="8">
        <f t="shared" si="2"/>
        <v>1470</v>
      </c>
      <c r="L8" s="5" t="s">
        <v>25</v>
      </c>
      <c r="M8" s="7" t="b">
        <f t="shared" ca="1" si="3"/>
        <v>0</v>
      </c>
      <c r="N8" s="16" t="b">
        <f t="shared" ca="1" si="4"/>
        <v>0</v>
      </c>
    </row>
    <row r="9" spans="1:14" x14ac:dyDescent="0.35">
      <c r="A9" s="5">
        <v>8</v>
      </c>
      <c r="B9" s="12" t="s">
        <v>35</v>
      </c>
      <c r="C9" s="6">
        <v>44204</v>
      </c>
      <c r="D9" s="6" t="str">
        <f t="shared" si="0"/>
        <v>08</v>
      </c>
      <c r="E9" s="6" t="str">
        <f t="shared" si="1"/>
        <v>Jan</v>
      </c>
      <c r="F9" s="7" t="s">
        <v>11</v>
      </c>
      <c r="G9" s="7" t="s">
        <v>12</v>
      </c>
      <c r="H9" s="7" t="s">
        <v>13</v>
      </c>
      <c r="I9" s="8">
        <v>6</v>
      </c>
      <c r="J9" s="8">
        <v>2100</v>
      </c>
      <c r="K9" s="8">
        <f t="shared" si="2"/>
        <v>12600</v>
      </c>
      <c r="L9" s="5" t="s">
        <v>26</v>
      </c>
      <c r="M9" s="7" t="b">
        <f t="shared" ca="1" si="3"/>
        <v>0</v>
      </c>
      <c r="N9" s="16" t="b">
        <f t="shared" ca="1" si="4"/>
        <v>0</v>
      </c>
    </row>
    <row r="10" spans="1:14" x14ac:dyDescent="0.35">
      <c r="A10" s="5">
        <v>9</v>
      </c>
      <c r="B10" s="12" t="s">
        <v>36</v>
      </c>
      <c r="C10" s="6">
        <v>44205</v>
      </c>
      <c r="D10" s="6" t="str">
        <f t="shared" si="0"/>
        <v>09</v>
      </c>
      <c r="E10" s="6" t="str">
        <f t="shared" si="1"/>
        <v>Jan</v>
      </c>
      <c r="F10" s="7" t="s">
        <v>14</v>
      </c>
      <c r="G10" s="7" t="s">
        <v>12</v>
      </c>
      <c r="H10" s="7" t="s">
        <v>15</v>
      </c>
      <c r="I10" s="8">
        <v>5</v>
      </c>
      <c r="J10" s="8">
        <v>1200</v>
      </c>
      <c r="K10" s="8">
        <f t="shared" si="2"/>
        <v>6000</v>
      </c>
      <c r="L10" s="5" t="s">
        <v>25</v>
      </c>
      <c r="M10" s="7" t="b">
        <f t="shared" ca="1" si="3"/>
        <v>0</v>
      </c>
      <c r="N10" s="16" t="b">
        <f t="shared" ca="1" si="4"/>
        <v>0</v>
      </c>
    </row>
    <row r="11" spans="1:14" x14ac:dyDescent="0.35">
      <c r="A11" s="5">
        <v>10</v>
      </c>
      <c r="B11" s="12" t="s">
        <v>37</v>
      </c>
      <c r="C11" s="6">
        <v>44206</v>
      </c>
      <c r="D11" s="6" t="str">
        <f t="shared" si="0"/>
        <v>10</v>
      </c>
      <c r="E11" s="6" t="str">
        <f t="shared" si="1"/>
        <v>Jan</v>
      </c>
      <c r="F11" s="7" t="s">
        <v>16</v>
      </c>
      <c r="G11" s="7" t="s">
        <v>9</v>
      </c>
      <c r="H11" s="7" t="s">
        <v>17</v>
      </c>
      <c r="I11" s="8">
        <v>4</v>
      </c>
      <c r="J11" s="8">
        <v>1500</v>
      </c>
      <c r="K11" s="8">
        <f t="shared" si="2"/>
        <v>6000</v>
      </c>
      <c r="L11" s="5" t="s">
        <v>26</v>
      </c>
      <c r="M11" s="7" t="b">
        <f t="shared" ca="1" si="3"/>
        <v>0</v>
      </c>
      <c r="N11" s="16" t="b">
        <f t="shared" ca="1" si="4"/>
        <v>0</v>
      </c>
    </row>
    <row r="12" spans="1:14" x14ac:dyDescent="0.35">
      <c r="A12" s="5">
        <v>11</v>
      </c>
      <c r="B12" s="12" t="s">
        <v>38</v>
      </c>
      <c r="C12" s="6">
        <v>44207</v>
      </c>
      <c r="D12" s="6" t="str">
        <f t="shared" si="0"/>
        <v>11</v>
      </c>
      <c r="E12" s="6" t="str">
        <f t="shared" si="1"/>
        <v>Jan</v>
      </c>
      <c r="F12" s="7" t="s">
        <v>18</v>
      </c>
      <c r="G12" s="7" t="s">
        <v>9</v>
      </c>
      <c r="H12" s="7" t="s">
        <v>19</v>
      </c>
      <c r="I12" s="8">
        <v>3</v>
      </c>
      <c r="J12" s="8">
        <v>300</v>
      </c>
      <c r="K12" s="8">
        <f t="shared" si="2"/>
        <v>900</v>
      </c>
      <c r="L12" s="5" t="s">
        <v>25</v>
      </c>
      <c r="M12" s="7" t="b">
        <f t="shared" ca="1" si="3"/>
        <v>0</v>
      </c>
      <c r="N12" s="16" t="b">
        <f t="shared" ca="1" si="4"/>
        <v>0</v>
      </c>
    </row>
    <row r="13" spans="1:14" x14ac:dyDescent="0.35">
      <c r="A13" s="5">
        <v>12</v>
      </c>
      <c r="B13" s="12" t="s">
        <v>39</v>
      </c>
      <c r="C13" s="6">
        <v>44208</v>
      </c>
      <c r="D13" s="6" t="str">
        <f t="shared" si="0"/>
        <v>12</v>
      </c>
      <c r="E13" s="6" t="str">
        <f t="shared" si="1"/>
        <v>Jan</v>
      </c>
      <c r="F13" s="7" t="s">
        <v>20</v>
      </c>
      <c r="G13" s="7" t="s">
        <v>12</v>
      </c>
      <c r="H13" s="7" t="s">
        <v>21</v>
      </c>
      <c r="I13" s="8">
        <v>2</v>
      </c>
      <c r="J13" s="8">
        <v>190</v>
      </c>
      <c r="K13" s="8">
        <f t="shared" si="2"/>
        <v>380</v>
      </c>
      <c r="L13" s="5" t="s">
        <v>26</v>
      </c>
      <c r="M13" s="7" t="b">
        <f t="shared" ca="1" si="3"/>
        <v>0</v>
      </c>
      <c r="N13" s="16" t="b">
        <f t="shared" ca="1" si="4"/>
        <v>0</v>
      </c>
    </row>
    <row r="14" spans="1:14" x14ac:dyDescent="0.35">
      <c r="A14" s="5">
        <v>13</v>
      </c>
      <c r="B14" s="12" t="s">
        <v>40</v>
      </c>
      <c r="C14" s="6">
        <v>44209</v>
      </c>
      <c r="D14" s="6" t="str">
        <f t="shared" si="0"/>
        <v>13</v>
      </c>
      <c r="E14" s="6" t="str">
        <f t="shared" si="1"/>
        <v>Jan</v>
      </c>
      <c r="F14" s="7" t="s">
        <v>20</v>
      </c>
      <c r="G14" s="7" t="s">
        <v>9</v>
      </c>
      <c r="H14" s="7" t="s">
        <v>10</v>
      </c>
      <c r="I14" s="8">
        <v>2</v>
      </c>
      <c r="J14" s="8">
        <v>210</v>
      </c>
      <c r="K14" s="8">
        <f t="shared" si="2"/>
        <v>420</v>
      </c>
      <c r="L14" s="5" t="s">
        <v>25</v>
      </c>
      <c r="M14" s="7" t="b">
        <f t="shared" ca="1" si="3"/>
        <v>0</v>
      </c>
      <c r="N14" s="16" t="b">
        <f t="shared" ca="1" si="4"/>
        <v>0</v>
      </c>
    </row>
    <row r="15" spans="1:14" x14ac:dyDescent="0.35">
      <c r="A15" s="5">
        <v>14</v>
      </c>
      <c r="B15" s="12" t="s">
        <v>41</v>
      </c>
      <c r="C15" s="6">
        <v>44210</v>
      </c>
      <c r="D15" s="6" t="str">
        <f t="shared" si="0"/>
        <v>14</v>
      </c>
      <c r="E15" s="6" t="str">
        <f t="shared" si="1"/>
        <v>Jan</v>
      </c>
      <c r="F15" s="7" t="s">
        <v>8</v>
      </c>
      <c r="G15" s="7" t="s">
        <v>9</v>
      </c>
      <c r="H15" s="7" t="s">
        <v>13</v>
      </c>
      <c r="I15" s="8">
        <v>7</v>
      </c>
      <c r="J15" s="8">
        <v>2100</v>
      </c>
      <c r="K15" s="8">
        <f t="shared" si="2"/>
        <v>14700</v>
      </c>
      <c r="L15" s="5" t="s">
        <v>26</v>
      </c>
      <c r="M15" s="7" t="b">
        <f t="shared" ca="1" si="3"/>
        <v>0</v>
      </c>
      <c r="N15" s="16" t="b">
        <f t="shared" ca="1" si="4"/>
        <v>0</v>
      </c>
    </row>
    <row r="16" spans="1:14" x14ac:dyDescent="0.35">
      <c r="A16" s="5">
        <v>15</v>
      </c>
      <c r="B16" s="12" t="s">
        <v>42</v>
      </c>
      <c r="C16" s="6">
        <v>44211</v>
      </c>
      <c r="D16" s="6" t="str">
        <f t="shared" si="0"/>
        <v>15</v>
      </c>
      <c r="E16" s="6" t="str">
        <f t="shared" si="1"/>
        <v>Jan</v>
      </c>
      <c r="F16" s="7" t="s">
        <v>11</v>
      </c>
      <c r="G16" s="7" t="s">
        <v>9</v>
      </c>
      <c r="H16" s="7" t="s">
        <v>15</v>
      </c>
      <c r="I16" s="8">
        <v>6</v>
      </c>
      <c r="J16" s="8">
        <v>1200</v>
      </c>
      <c r="K16" s="8">
        <f t="shared" si="2"/>
        <v>7200</v>
      </c>
      <c r="L16" s="5" t="s">
        <v>25</v>
      </c>
      <c r="M16" s="7" t="b">
        <f t="shared" ca="1" si="3"/>
        <v>0</v>
      </c>
      <c r="N16" s="16" t="b">
        <f t="shared" ca="1" si="4"/>
        <v>0</v>
      </c>
    </row>
    <row r="17" spans="1:14" x14ac:dyDescent="0.35">
      <c r="A17" s="5">
        <v>16</v>
      </c>
      <c r="B17" s="12" t="s">
        <v>43</v>
      </c>
      <c r="C17" s="6">
        <v>44212</v>
      </c>
      <c r="D17" s="6" t="str">
        <f t="shared" si="0"/>
        <v>16</v>
      </c>
      <c r="E17" s="6" t="str">
        <f t="shared" si="1"/>
        <v>Jan</v>
      </c>
      <c r="F17" s="7" t="s">
        <v>14</v>
      </c>
      <c r="G17" s="7" t="s">
        <v>9</v>
      </c>
      <c r="H17" s="7" t="s">
        <v>17</v>
      </c>
      <c r="I17" s="8">
        <v>5</v>
      </c>
      <c r="J17" s="8">
        <v>1500</v>
      </c>
      <c r="K17" s="8">
        <f t="shared" si="2"/>
        <v>7500</v>
      </c>
      <c r="L17" s="5" t="s">
        <v>26</v>
      </c>
      <c r="M17" s="7" t="b">
        <f t="shared" ca="1" si="3"/>
        <v>0</v>
      </c>
      <c r="N17" s="16" t="b">
        <f t="shared" ca="1" si="4"/>
        <v>0</v>
      </c>
    </row>
    <row r="18" spans="1:14" x14ac:dyDescent="0.35">
      <c r="A18" s="5">
        <v>17</v>
      </c>
      <c r="B18" s="12" t="s">
        <v>44</v>
      </c>
      <c r="C18" s="6">
        <v>44213</v>
      </c>
      <c r="D18" s="6" t="str">
        <f t="shared" si="0"/>
        <v>17</v>
      </c>
      <c r="E18" s="6" t="str">
        <f t="shared" si="1"/>
        <v>Jan</v>
      </c>
      <c r="F18" s="7" t="s">
        <v>16</v>
      </c>
      <c r="G18" s="7" t="s">
        <v>9</v>
      </c>
      <c r="H18" s="7" t="s">
        <v>19</v>
      </c>
      <c r="I18" s="8">
        <v>4</v>
      </c>
      <c r="J18" s="8">
        <v>300</v>
      </c>
      <c r="K18" s="8">
        <f t="shared" si="2"/>
        <v>1200</v>
      </c>
      <c r="L18" s="5" t="s">
        <v>25</v>
      </c>
      <c r="M18" s="7" t="b">
        <f t="shared" ca="1" si="3"/>
        <v>0</v>
      </c>
      <c r="N18" s="16" t="b">
        <f t="shared" ca="1" si="4"/>
        <v>0</v>
      </c>
    </row>
    <row r="19" spans="1:14" x14ac:dyDescent="0.35">
      <c r="A19" s="5">
        <v>18</v>
      </c>
      <c r="B19" s="12" t="s">
        <v>45</v>
      </c>
      <c r="C19" s="6">
        <v>44214</v>
      </c>
      <c r="D19" s="6" t="str">
        <f t="shared" si="0"/>
        <v>18</v>
      </c>
      <c r="E19" s="6" t="str">
        <f t="shared" si="1"/>
        <v>Jan</v>
      </c>
      <c r="F19" s="7" t="s">
        <v>18</v>
      </c>
      <c r="G19" s="7" t="s">
        <v>9</v>
      </c>
      <c r="H19" s="7" t="s">
        <v>21</v>
      </c>
      <c r="I19" s="8">
        <v>3</v>
      </c>
      <c r="J19" s="8">
        <v>190</v>
      </c>
      <c r="K19" s="8">
        <f t="shared" si="2"/>
        <v>570</v>
      </c>
      <c r="L19" s="5" t="s">
        <v>26</v>
      </c>
      <c r="M19" s="7" t="b">
        <f t="shared" ca="1" si="3"/>
        <v>0</v>
      </c>
      <c r="N19" s="16" t="b">
        <f t="shared" ca="1" si="4"/>
        <v>0</v>
      </c>
    </row>
    <row r="20" spans="1:14" x14ac:dyDescent="0.35">
      <c r="A20" s="5">
        <v>19</v>
      </c>
      <c r="B20" s="12" t="s">
        <v>46</v>
      </c>
      <c r="C20" s="6">
        <v>44215</v>
      </c>
      <c r="D20" s="6" t="str">
        <f t="shared" si="0"/>
        <v>19</v>
      </c>
      <c r="E20" s="6" t="str">
        <f t="shared" si="1"/>
        <v>Jan</v>
      </c>
      <c r="F20" s="7" t="s">
        <v>20</v>
      </c>
      <c r="G20" s="7" t="s">
        <v>9</v>
      </c>
      <c r="H20" s="7" t="s">
        <v>10</v>
      </c>
      <c r="I20" s="8">
        <v>2</v>
      </c>
      <c r="J20" s="8">
        <v>210</v>
      </c>
      <c r="K20" s="8">
        <f t="shared" si="2"/>
        <v>420</v>
      </c>
      <c r="L20" s="5" t="s">
        <v>25</v>
      </c>
      <c r="M20" s="7" t="b">
        <f t="shared" ca="1" si="3"/>
        <v>0</v>
      </c>
      <c r="N20" s="16" t="b">
        <f t="shared" ca="1" si="4"/>
        <v>0</v>
      </c>
    </row>
    <row r="21" spans="1:14" x14ac:dyDescent="0.35">
      <c r="A21" s="5">
        <v>20</v>
      </c>
      <c r="B21" s="12" t="s">
        <v>47</v>
      </c>
      <c r="C21" s="6">
        <v>44216</v>
      </c>
      <c r="D21" s="6" t="str">
        <f t="shared" si="0"/>
        <v>20</v>
      </c>
      <c r="E21" s="6" t="str">
        <f t="shared" si="1"/>
        <v>Jan</v>
      </c>
      <c r="F21" s="7" t="s">
        <v>8</v>
      </c>
      <c r="G21" s="7" t="s">
        <v>9</v>
      </c>
      <c r="H21" s="7" t="s">
        <v>15</v>
      </c>
      <c r="I21" s="8">
        <v>7</v>
      </c>
      <c r="J21" s="8">
        <v>2100</v>
      </c>
      <c r="K21" s="8">
        <f t="shared" si="2"/>
        <v>14700</v>
      </c>
      <c r="L21" s="5" t="s">
        <v>26</v>
      </c>
      <c r="M21" s="7" t="b">
        <f t="shared" ca="1" si="3"/>
        <v>0</v>
      </c>
      <c r="N21" s="16" t="b">
        <f t="shared" ca="1" si="4"/>
        <v>0</v>
      </c>
    </row>
    <row r="22" spans="1:14" x14ac:dyDescent="0.35">
      <c r="A22" s="5">
        <v>21</v>
      </c>
      <c r="B22" s="12" t="s">
        <v>48</v>
      </c>
      <c r="C22" s="6">
        <v>44217</v>
      </c>
      <c r="D22" s="6" t="str">
        <f t="shared" si="0"/>
        <v>21</v>
      </c>
      <c r="E22" s="6" t="str">
        <f t="shared" si="1"/>
        <v>Jan</v>
      </c>
      <c r="F22" s="7" t="s">
        <v>11</v>
      </c>
      <c r="G22" s="7" t="s">
        <v>12</v>
      </c>
      <c r="H22" s="7" t="s">
        <v>17</v>
      </c>
      <c r="I22" s="8">
        <v>6</v>
      </c>
      <c r="J22" s="8">
        <v>1200</v>
      </c>
      <c r="K22" s="8">
        <f t="shared" si="2"/>
        <v>7200</v>
      </c>
      <c r="L22" s="5" t="s">
        <v>25</v>
      </c>
      <c r="M22" s="7" t="b">
        <f t="shared" ca="1" si="3"/>
        <v>0</v>
      </c>
      <c r="N22" s="16" t="b">
        <f t="shared" ca="1" si="4"/>
        <v>0</v>
      </c>
    </row>
    <row r="23" spans="1:14" x14ac:dyDescent="0.35">
      <c r="A23" s="5">
        <v>22</v>
      </c>
      <c r="B23" s="12" t="s">
        <v>49</v>
      </c>
      <c r="C23" s="6">
        <v>44218</v>
      </c>
      <c r="D23" s="6" t="str">
        <f t="shared" si="0"/>
        <v>22</v>
      </c>
      <c r="E23" s="6" t="str">
        <f t="shared" si="1"/>
        <v>Jan</v>
      </c>
      <c r="F23" s="7" t="s">
        <v>14</v>
      </c>
      <c r="G23" s="7" t="s">
        <v>9</v>
      </c>
      <c r="H23" s="7" t="s">
        <v>19</v>
      </c>
      <c r="I23" s="8">
        <v>5</v>
      </c>
      <c r="J23" s="8">
        <v>300</v>
      </c>
      <c r="K23" s="8">
        <f t="shared" si="2"/>
        <v>1500</v>
      </c>
      <c r="L23" s="5" t="s">
        <v>26</v>
      </c>
      <c r="M23" s="7" t="b">
        <f t="shared" ca="1" si="3"/>
        <v>0</v>
      </c>
      <c r="N23" s="16" t="b">
        <f t="shared" ca="1" si="4"/>
        <v>0</v>
      </c>
    </row>
    <row r="24" spans="1:14" x14ac:dyDescent="0.35">
      <c r="A24" s="5">
        <v>23</v>
      </c>
      <c r="B24" s="12" t="s">
        <v>50</v>
      </c>
      <c r="C24" s="6">
        <v>44219</v>
      </c>
      <c r="D24" s="6" t="str">
        <f t="shared" si="0"/>
        <v>23</v>
      </c>
      <c r="E24" s="6" t="str">
        <f t="shared" si="1"/>
        <v>Jan</v>
      </c>
      <c r="F24" s="7" t="s">
        <v>16</v>
      </c>
      <c r="G24" s="7" t="s">
        <v>12</v>
      </c>
      <c r="H24" s="7" t="s">
        <v>21</v>
      </c>
      <c r="I24" s="8">
        <v>4</v>
      </c>
      <c r="J24" s="8">
        <v>200</v>
      </c>
      <c r="K24" s="8">
        <f t="shared" si="2"/>
        <v>800</v>
      </c>
      <c r="L24" s="5" t="s">
        <v>25</v>
      </c>
      <c r="M24" s="7" t="b">
        <f t="shared" ca="1" si="3"/>
        <v>0</v>
      </c>
      <c r="N24" s="16" t="b">
        <f t="shared" ca="1" si="4"/>
        <v>0</v>
      </c>
    </row>
    <row r="25" spans="1:14" x14ac:dyDescent="0.35">
      <c r="A25" s="5">
        <v>24</v>
      </c>
      <c r="B25" s="12" t="s">
        <v>51</v>
      </c>
      <c r="C25" s="6">
        <v>44220</v>
      </c>
      <c r="D25" s="6" t="str">
        <f t="shared" si="0"/>
        <v>24</v>
      </c>
      <c r="E25" s="6" t="str">
        <f t="shared" si="1"/>
        <v>Jan</v>
      </c>
      <c r="F25" s="7" t="s">
        <v>18</v>
      </c>
      <c r="G25" s="7" t="s">
        <v>9</v>
      </c>
      <c r="H25" s="7" t="s">
        <v>10</v>
      </c>
      <c r="I25" s="8">
        <v>3</v>
      </c>
      <c r="J25" s="8">
        <v>190</v>
      </c>
      <c r="K25" s="8">
        <f t="shared" si="2"/>
        <v>570</v>
      </c>
      <c r="L25" s="5" t="s">
        <v>26</v>
      </c>
      <c r="M25" s="7" t="b">
        <f t="shared" ca="1" si="3"/>
        <v>0</v>
      </c>
      <c r="N25" s="16" t="b">
        <f t="shared" ca="1" si="4"/>
        <v>0</v>
      </c>
    </row>
    <row r="26" spans="1:14" x14ac:dyDescent="0.35">
      <c r="A26" s="5">
        <v>25</v>
      </c>
      <c r="B26" s="12" t="s">
        <v>52</v>
      </c>
      <c r="C26" s="6">
        <v>44221</v>
      </c>
      <c r="D26" s="6" t="str">
        <f t="shared" si="0"/>
        <v>25</v>
      </c>
      <c r="E26" s="6" t="str">
        <f t="shared" si="1"/>
        <v>Jan</v>
      </c>
      <c r="F26" s="7" t="s">
        <v>20</v>
      </c>
      <c r="G26" s="7" t="s">
        <v>9</v>
      </c>
      <c r="H26" s="7" t="s">
        <v>13</v>
      </c>
      <c r="I26" s="8">
        <v>2</v>
      </c>
      <c r="J26" s="8">
        <v>2100</v>
      </c>
      <c r="K26" s="8">
        <f t="shared" si="2"/>
        <v>4200</v>
      </c>
      <c r="L26" s="5" t="s">
        <v>25</v>
      </c>
      <c r="M26" s="7" t="b">
        <f t="shared" ca="1" si="3"/>
        <v>0</v>
      </c>
      <c r="N26" s="16" t="b">
        <f t="shared" ca="1" si="4"/>
        <v>0</v>
      </c>
    </row>
    <row r="27" spans="1:14" x14ac:dyDescent="0.35">
      <c r="A27" s="5">
        <v>26</v>
      </c>
      <c r="B27" s="12" t="s">
        <v>53</v>
      </c>
      <c r="C27" s="6">
        <v>44222</v>
      </c>
      <c r="D27" s="6" t="str">
        <f t="shared" si="0"/>
        <v>26</v>
      </c>
      <c r="E27" s="6" t="str">
        <f t="shared" si="1"/>
        <v>Jan</v>
      </c>
      <c r="F27" s="7" t="s">
        <v>20</v>
      </c>
      <c r="G27" s="7" t="s">
        <v>9</v>
      </c>
      <c r="H27" s="7" t="s">
        <v>10</v>
      </c>
      <c r="I27" s="8">
        <v>7</v>
      </c>
      <c r="J27" s="8">
        <v>210</v>
      </c>
      <c r="K27" s="8">
        <f t="shared" si="2"/>
        <v>1470</v>
      </c>
      <c r="L27" s="5" t="s">
        <v>26</v>
      </c>
      <c r="M27" s="7" t="b">
        <f t="shared" ca="1" si="3"/>
        <v>0</v>
      </c>
      <c r="N27" s="16" t="b">
        <f t="shared" ca="1" si="4"/>
        <v>0</v>
      </c>
    </row>
    <row r="28" spans="1:14" x14ac:dyDescent="0.35">
      <c r="A28" s="5">
        <v>27</v>
      </c>
      <c r="B28" s="12" t="s">
        <v>54</v>
      </c>
      <c r="C28" s="6">
        <v>44223</v>
      </c>
      <c r="D28" s="6" t="str">
        <f t="shared" si="0"/>
        <v>27</v>
      </c>
      <c r="E28" s="6" t="str">
        <f t="shared" si="1"/>
        <v>Jan</v>
      </c>
      <c r="F28" s="7" t="s">
        <v>8</v>
      </c>
      <c r="G28" s="7" t="s">
        <v>9</v>
      </c>
      <c r="H28" s="7" t="s">
        <v>13</v>
      </c>
      <c r="I28" s="8">
        <v>6</v>
      </c>
      <c r="J28" s="8">
        <v>2100</v>
      </c>
      <c r="K28" s="8">
        <f t="shared" si="2"/>
        <v>12600</v>
      </c>
      <c r="L28" s="5" t="s">
        <v>25</v>
      </c>
      <c r="M28" s="7" t="b">
        <f t="shared" ca="1" si="3"/>
        <v>0</v>
      </c>
      <c r="N28" s="16" t="b">
        <f t="shared" ca="1" si="4"/>
        <v>0</v>
      </c>
    </row>
    <row r="29" spans="1:14" x14ac:dyDescent="0.35">
      <c r="A29" s="5">
        <v>28</v>
      </c>
      <c r="B29" s="12" t="s">
        <v>55</v>
      </c>
      <c r="C29" s="6">
        <v>44224</v>
      </c>
      <c r="D29" s="6" t="str">
        <f t="shared" si="0"/>
        <v>28</v>
      </c>
      <c r="E29" s="6" t="str">
        <f t="shared" si="1"/>
        <v>Jan</v>
      </c>
      <c r="F29" s="7" t="s">
        <v>8</v>
      </c>
      <c r="G29" s="7" t="s">
        <v>12</v>
      </c>
      <c r="H29" s="7" t="s">
        <v>10</v>
      </c>
      <c r="I29" s="8">
        <v>7</v>
      </c>
      <c r="J29" s="8">
        <v>210</v>
      </c>
      <c r="K29" s="8">
        <f t="shared" si="2"/>
        <v>1470</v>
      </c>
      <c r="L29" s="5" t="s">
        <v>26</v>
      </c>
      <c r="M29" s="7" t="b">
        <f t="shared" ca="1" si="3"/>
        <v>0</v>
      </c>
      <c r="N29" s="16" t="b">
        <f t="shared" ca="1" si="4"/>
        <v>0</v>
      </c>
    </row>
    <row r="30" spans="1:14" x14ac:dyDescent="0.35">
      <c r="A30" s="5">
        <v>29</v>
      </c>
      <c r="B30" s="12" t="s">
        <v>56</v>
      </c>
      <c r="C30" s="6">
        <v>44225</v>
      </c>
      <c r="D30" s="6" t="str">
        <f t="shared" si="0"/>
        <v>29</v>
      </c>
      <c r="E30" s="6" t="str">
        <f t="shared" si="1"/>
        <v>Jan</v>
      </c>
      <c r="F30" s="7" t="s">
        <v>8</v>
      </c>
      <c r="G30" s="7" t="s">
        <v>22</v>
      </c>
      <c r="H30" s="7" t="s">
        <v>10</v>
      </c>
      <c r="I30" s="8">
        <v>7</v>
      </c>
      <c r="J30" s="8">
        <v>210</v>
      </c>
      <c r="K30" s="8">
        <f t="shared" si="2"/>
        <v>1470</v>
      </c>
      <c r="L30" s="5" t="s">
        <v>25</v>
      </c>
      <c r="M30" s="7" t="b">
        <f t="shared" ca="1" si="3"/>
        <v>0</v>
      </c>
      <c r="N30" s="16" t="b">
        <f t="shared" ca="1" si="4"/>
        <v>0</v>
      </c>
    </row>
    <row r="31" spans="1:14" x14ac:dyDescent="0.35">
      <c r="A31" s="5">
        <v>30</v>
      </c>
      <c r="B31" s="12" t="s">
        <v>57</v>
      </c>
      <c r="C31" s="6">
        <v>44226</v>
      </c>
      <c r="D31" s="6" t="str">
        <f t="shared" si="0"/>
        <v>30</v>
      </c>
      <c r="E31" s="6" t="str">
        <f t="shared" si="1"/>
        <v>Jan</v>
      </c>
      <c r="F31" s="7" t="s">
        <v>8</v>
      </c>
      <c r="G31" s="7" t="s">
        <v>23</v>
      </c>
      <c r="H31" s="7" t="s">
        <v>10</v>
      </c>
      <c r="I31" s="8">
        <v>7</v>
      </c>
      <c r="J31" s="8">
        <v>210</v>
      </c>
      <c r="K31" s="8">
        <f t="shared" si="2"/>
        <v>1470</v>
      </c>
      <c r="L31" s="5" t="s">
        <v>26</v>
      </c>
      <c r="M31" s="7" t="b">
        <f t="shared" ca="1" si="3"/>
        <v>0</v>
      </c>
      <c r="N31" s="16" t="b">
        <f t="shared" ca="1" si="4"/>
        <v>0</v>
      </c>
    </row>
    <row r="32" spans="1:14" x14ac:dyDescent="0.35">
      <c r="A32" s="5">
        <v>31</v>
      </c>
      <c r="B32" s="12" t="s">
        <v>58</v>
      </c>
      <c r="C32" s="6">
        <v>44227</v>
      </c>
      <c r="D32" s="6" t="str">
        <f t="shared" si="0"/>
        <v>31</v>
      </c>
      <c r="E32" s="6" t="str">
        <f t="shared" si="1"/>
        <v>Jan</v>
      </c>
      <c r="F32" s="7" t="s">
        <v>8</v>
      </c>
      <c r="G32" s="7" t="s">
        <v>9</v>
      </c>
      <c r="H32" s="7" t="s">
        <v>10</v>
      </c>
      <c r="I32" s="8">
        <v>7</v>
      </c>
      <c r="J32" s="8">
        <v>210</v>
      </c>
      <c r="K32" s="8">
        <f t="shared" si="2"/>
        <v>1470</v>
      </c>
      <c r="L32" s="5" t="s">
        <v>25</v>
      </c>
      <c r="M32" s="7" t="b">
        <f t="shared" ca="1" si="3"/>
        <v>0</v>
      </c>
      <c r="N32" s="16" t="b">
        <f t="shared" ca="1" si="4"/>
        <v>0</v>
      </c>
    </row>
    <row r="33" spans="1:14" x14ac:dyDescent="0.35">
      <c r="A33" s="5">
        <v>32</v>
      </c>
      <c r="B33" s="12" t="s">
        <v>59</v>
      </c>
      <c r="C33" s="6">
        <v>44228</v>
      </c>
      <c r="D33" s="6" t="str">
        <f t="shared" si="0"/>
        <v>01</v>
      </c>
      <c r="E33" s="6" t="str">
        <f t="shared" si="1"/>
        <v>Feb</v>
      </c>
      <c r="F33" s="7" t="s">
        <v>8</v>
      </c>
      <c r="G33" s="7" t="s">
        <v>12</v>
      </c>
      <c r="H33" s="7" t="s">
        <v>10</v>
      </c>
      <c r="I33" s="8">
        <v>7</v>
      </c>
      <c r="J33" s="8">
        <v>210</v>
      </c>
      <c r="K33" s="8">
        <f t="shared" si="2"/>
        <v>1470</v>
      </c>
      <c r="L33" s="5" t="s">
        <v>26</v>
      </c>
      <c r="M33" s="7" t="b">
        <f t="shared" ca="1" si="3"/>
        <v>0</v>
      </c>
      <c r="N33" s="16" t="b">
        <f t="shared" ca="1" si="4"/>
        <v>0</v>
      </c>
    </row>
    <row r="34" spans="1:14" x14ac:dyDescent="0.35">
      <c r="A34" s="5">
        <v>33</v>
      </c>
      <c r="B34" s="12" t="s">
        <v>60</v>
      </c>
      <c r="C34" s="6">
        <v>44229</v>
      </c>
      <c r="D34" s="6" t="str">
        <f t="shared" si="0"/>
        <v>02</v>
      </c>
      <c r="E34" s="6" t="str">
        <f t="shared" si="1"/>
        <v>Feb</v>
      </c>
      <c r="F34" s="7" t="s">
        <v>8</v>
      </c>
      <c r="G34" s="7" t="s">
        <v>22</v>
      </c>
      <c r="H34" s="7" t="s">
        <v>10</v>
      </c>
      <c r="I34" s="8">
        <v>7</v>
      </c>
      <c r="J34" s="8">
        <v>210</v>
      </c>
      <c r="K34" s="8">
        <f t="shared" si="2"/>
        <v>1470</v>
      </c>
      <c r="L34" s="5" t="s">
        <v>25</v>
      </c>
      <c r="M34" s="7" t="b">
        <f t="shared" ca="1" si="3"/>
        <v>0</v>
      </c>
      <c r="N34" s="16" t="b">
        <f t="shared" ca="1" si="4"/>
        <v>0</v>
      </c>
    </row>
    <row r="35" spans="1:14" x14ac:dyDescent="0.35">
      <c r="A35" s="5">
        <v>34</v>
      </c>
      <c r="B35" s="12" t="s">
        <v>61</v>
      </c>
      <c r="C35" s="6">
        <v>44230</v>
      </c>
      <c r="D35" s="6" t="str">
        <f t="shared" si="0"/>
        <v>03</v>
      </c>
      <c r="E35" s="6" t="str">
        <f t="shared" si="1"/>
        <v>Feb</v>
      </c>
      <c r="F35" s="7" t="s">
        <v>8</v>
      </c>
      <c r="G35" s="7" t="s">
        <v>23</v>
      </c>
      <c r="H35" s="7" t="s">
        <v>10</v>
      </c>
      <c r="I35" s="8">
        <v>7</v>
      </c>
      <c r="J35" s="8">
        <v>210</v>
      </c>
      <c r="K35" s="8">
        <f t="shared" si="2"/>
        <v>1470</v>
      </c>
      <c r="L35" s="5" t="s">
        <v>26</v>
      </c>
      <c r="M35" s="7" t="b">
        <f t="shared" ca="1" si="3"/>
        <v>0</v>
      </c>
      <c r="N35" s="16" t="b">
        <f t="shared" ca="1" si="4"/>
        <v>0</v>
      </c>
    </row>
    <row r="36" spans="1:14" x14ac:dyDescent="0.35">
      <c r="A36" s="5">
        <v>35</v>
      </c>
      <c r="B36" s="12" t="s">
        <v>62</v>
      </c>
      <c r="C36" s="6">
        <v>44231</v>
      </c>
      <c r="D36" s="6" t="str">
        <f t="shared" si="0"/>
        <v>04</v>
      </c>
      <c r="E36" s="6" t="str">
        <f t="shared" si="1"/>
        <v>Feb</v>
      </c>
      <c r="F36" s="7" t="s">
        <v>11</v>
      </c>
      <c r="G36" s="7" t="s">
        <v>12</v>
      </c>
      <c r="H36" s="7" t="s">
        <v>10</v>
      </c>
      <c r="I36" s="8">
        <v>7</v>
      </c>
      <c r="J36" s="8">
        <v>210</v>
      </c>
      <c r="K36" s="8">
        <f t="shared" si="2"/>
        <v>1470</v>
      </c>
      <c r="L36" s="5" t="s">
        <v>25</v>
      </c>
      <c r="M36" s="7" t="b">
        <f t="shared" ca="1" si="3"/>
        <v>0</v>
      </c>
      <c r="N36" s="16" t="b">
        <f t="shared" ca="1" si="4"/>
        <v>0</v>
      </c>
    </row>
    <row r="37" spans="1:14" x14ac:dyDescent="0.35">
      <c r="A37" s="5">
        <v>36</v>
      </c>
      <c r="B37" s="12" t="s">
        <v>63</v>
      </c>
      <c r="C37" s="6">
        <v>44232</v>
      </c>
      <c r="D37" s="6" t="str">
        <f t="shared" si="0"/>
        <v>05</v>
      </c>
      <c r="E37" s="6" t="str">
        <f t="shared" si="1"/>
        <v>Feb</v>
      </c>
      <c r="F37" s="7" t="s">
        <v>11</v>
      </c>
      <c r="G37" s="7" t="s">
        <v>9</v>
      </c>
      <c r="H37" s="7" t="s">
        <v>10</v>
      </c>
      <c r="I37" s="8">
        <v>7</v>
      </c>
      <c r="J37" s="8">
        <v>210</v>
      </c>
      <c r="K37" s="8">
        <f t="shared" si="2"/>
        <v>1470</v>
      </c>
      <c r="L37" s="5" t="s">
        <v>26</v>
      </c>
      <c r="M37" s="7" t="b">
        <f t="shared" ca="1" si="3"/>
        <v>0</v>
      </c>
      <c r="N37" s="16" t="b">
        <f t="shared" ca="1" si="4"/>
        <v>0</v>
      </c>
    </row>
    <row r="38" spans="1:14" x14ac:dyDescent="0.35">
      <c r="A38" s="5">
        <v>37</v>
      </c>
      <c r="B38" s="12" t="s">
        <v>64</v>
      </c>
      <c r="C38" s="6">
        <v>44233</v>
      </c>
      <c r="D38" s="6" t="str">
        <f t="shared" si="0"/>
        <v>06</v>
      </c>
      <c r="E38" s="6" t="str">
        <f t="shared" si="1"/>
        <v>Feb</v>
      </c>
      <c r="F38" s="7" t="s">
        <v>11</v>
      </c>
      <c r="G38" s="7" t="s">
        <v>22</v>
      </c>
      <c r="H38" s="7" t="s">
        <v>21</v>
      </c>
      <c r="I38" s="8">
        <v>2</v>
      </c>
      <c r="J38" s="8">
        <v>190</v>
      </c>
      <c r="K38" s="8">
        <f t="shared" si="2"/>
        <v>380</v>
      </c>
      <c r="L38" s="5" t="s">
        <v>25</v>
      </c>
      <c r="M38" s="7" t="b">
        <f t="shared" ca="1" si="3"/>
        <v>0</v>
      </c>
      <c r="N38" s="16" t="b">
        <f t="shared" ca="1" si="4"/>
        <v>0</v>
      </c>
    </row>
    <row r="39" spans="1:14" x14ac:dyDescent="0.35">
      <c r="A39" s="5">
        <v>38</v>
      </c>
      <c r="B39" s="12" t="s">
        <v>65</v>
      </c>
      <c r="C39" s="6">
        <v>44234</v>
      </c>
      <c r="D39" s="6" t="str">
        <f t="shared" si="0"/>
        <v>07</v>
      </c>
      <c r="E39" s="6" t="str">
        <f t="shared" si="1"/>
        <v>Feb</v>
      </c>
      <c r="F39" s="7" t="s">
        <v>11</v>
      </c>
      <c r="G39" s="7" t="s">
        <v>23</v>
      </c>
      <c r="H39" s="7" t="s">
        <v>10</v>
      </c>
      <c r="I39" s="8">
        <v>2</v>
      </c>
      <c r="J39" s="8">
        <v>210</v>
      </c>
      <c r="K39" s="8">
        <f t="shared" si="2"/>
        <v>420</v>
      </c>
      <c r="L39" s="5" t="s">
        <v>26</v>
      </c>
      <c r="M39" s="7" t="b">
        <f t="shared" ca="1" si="3"/>
        <v>0</v>
      </c>
      <c r="N39" s="16" t="b">
        <f t="shared" ca="1" si="4"/>
        <v>0</v>
      </c>
    </row>
    <row r="40" spans="1:14" x14ac:dyDescent="0.35">
      <c r="A40" s="5">
        <v>39</v>
      </c>
      <c r="B40" s="12" t="s">
        <v>66</v>
      </c>
      <c r="C40" s="6">
        <v>44235</v>
      </c>
      <c r="D40" s="6" t="str">
        <f t="shared" si="0"/>
        <v>08</v>
      </c>
      <c r="E40" s="6" t="str">
        <f t="shared" si="1"/>
        <v>Feb</v>
      </c>
      <c r="F40" s="7" t="s">
        <v>11</v>
      </c>
      <c r="G40" s="7" t="s">
        <v>12</v>
      </c>
      <c r="H40" s="7" t="s">
        <v>13</v>
      </c>
      <c r="I40" s="8">
        <v>7</v>
      </c>
      <c r="J40" s="8">
        <v>2100</v>
      </c>
      <c r="K40" s="8">
        <f t="shared" si="2"/>
        <v>14700</v>
      </c>
      <c r="L40" s="5" t="s">
        <v>25</v>
      </c>
      <c r="M40" s="7" t="b">
        <f t="shared" ca="1" si="3"/>
        <v>0</v>
      </c>
      <c r="N40" s="16" t="b">
        <f t="shared" ca="1" si="4"/>
        <v>0</v>
      </c>
    </row>
    <row r="41" spans="1:14" x14ac:dyDescent="0.35">
      <c r="A41" s="5">
        <v>40</v>
      </c>
      <c r="B41" s="12" t="s">
        <v>67</v>
      </c>
      <c r="C41" s="6">
        <v>44236</v>
      </c>
      <c r="D41" s="6" t="str">
        <f t="shared" si="0"/>
        <v>09</v>
      </c>
      <c r="E41" s="6" t="str">
        <f t="shared" si="1"/>
        <v>Feb</v>
      </c>
      <c r="F41" s="7" t="s">
        <v>11</v>
      </c>
      <c r="G41" s="7" t="s">
        <v>9</v>
      </c>
      <c r="H41" s="7" t="s">
        <v>15</v>
      </c>
      <c r="I41" s="8">
        <v>6</v>
      </c>
      <c r="J41" s="8">
        <v>1200</v>
      </c>
      <c r="K41" s="8">
        <f t="shared" si="2"/>
        <v>7200</v>
      </c>
      <c r="L41" s="5" t="s">
        <v>26</v>
      </c>
      <c r="M41" s="7" t="b">
        <f t="shared" ca="1" si="3"/>
        <v>0</v>
      </c>
      <c r="N41" s="16" t="b">
        <f t="shared" ca="1" si="4"/>
        <v>0</v>
      </c>
    </row>
    <row r="42" spans="1:14" x14ac:dyDescent="0.35">
      <c r="A42" s="5">
        <v>41</v>
      </c>
      <c r="B42" s="12" t="s">
        <v>68</v>
      </c>
      <c r="C42" s="6">
        <v>44237</v>
      </c>
      <c r="D42" s="6" t="str">
        <f t="shared" si="0"/>
        <v>10</v>
      </c>
      <c r="E42" s="6" t="str">
        <f t="shared" si="1"/>
        <v>Feb</v>
      </c>
      <c r="F42" s="7" t="s">
        <v>11</v>
      </c>
      <c r="G42" s="7" t="s">
        <v>22</v>
      </c>
      <c r="H42" s="7" t="s">
        <v>13</v>
      </c>
      <c r="I42" s="8">
        <v>7</v>
      </c>
      <c r="J42" s="8">
        <v>2100</v>
      </c>
      <c r="K42" s="8">
        <f t="shared" si="2"/>
        <v>14700</v>
      </c>
      <c r="L42" s="5" t="s">
        <v>25</v>
      </c>
      <c r="M42" s="7" t="b">
        <f t="shared" ca="1" si="3"/>
        <v>0</v>
      </c>
      <c r="N42" s="16" t="b">
        <f t="shared" ca="1" si="4"/>
        <v>0</v>
      </c>
    </row>
    <row r="43" spans="1:14" x14ac:dyDescent="0.35">
      <c r="A43" s="5">
        <v>42</v>
      </c>
      <c r="B43" s="12" t="s">
        <v>69</v>
      </c>
      <c r="C43" s="6">
        <v>44238</v>
      </c>
      <c r="D43" s="6" t="str">
        <f t="shared" si="0"/>
        <v>11</v>
      </c>
      <c r="E43" s="6" t="str">
        <f t="shared" si="1"/>
        <v>Feb</v>
      </c>
      <c r="F43" s="7" t="s">
        <v>11</v>
      </c>
      <c r="G43" s="7" t="s">
        <v>23</v>
      </c>
      <c r="H43" s="7" t="s">
        <v>13</v>
      </c>
      <c r="I43" s="8">
        <v>7</v>
      </c>
      <c r="J43" s="8">
        <v>2100</v>
      </c>
      <c r="K43" s="8">
        <f t="shared" si="2"/>
        <v>14700</v>
      </c>
      <c r="L43" s="5" t="s">
        <v>26</v>
      </c>
      <c r="M43" s="7" t="b">
        <f t="shared" ca="1" si="3"/>
        <v>0</v>
      </c>
      <c r="N43" s="16" t="b">
        <f t="shared" ca="1" si="4"/>
        <v>0</v>
      </c>
    </row>
    <row r="44" spans="1:14" x14ac:dyDescent="0.35">
      <c r="A44" s="5">
        <v>43</v>
      </c>
      <c r="B44" s="12" t="s">
        <v>70</v>
      </c>
      <c r="C44" s="6">
        <v>44239</v>
      </c>
      <c r="D44" s="6" t="str">
        <f t="shared" si="0"/>
        <v>12</v>
      </c>
      <c r="E44" s="6" t="str">
        <f t="shared" si="1"/>
        <v>Feb</v>
      </c>
      <c r="F44" s="7" t="s">
        <v>14</v>
      </c>
      <c r="G44" s="7" t="s">
        <v>23</v>
      </c>
      <c r="H44" s="7" t="s">
        <v>13</v>
      </c>
      <c r="I44" s="8">
        <v>7</v>
      </c>
      <c r="J44" s="8">
        <v>2100</v>
      </c>
      <c r="K44" s="8">
        <f t="shared" si="2"/>
        <v>14700</v>
      </c>
      <c r="L44" s="5" t="s">
        <v>25</v>
      </c>
      <c r="M44" s="7" t="b">
        <f t="shared" ca="1" si="3"/>
        <v>0</v>
      </c>
      <c r="N44" s="16" t="b">
        <f t="shared" ca="1" si="4"/>
        <v>0</v>
      </c>
    </row>
    <row r="45" spans="1:14" x14ac:dyDescent="0.35">
      <c r="A45" s="5">
        <v>44</v>
      </c>
      <c r="B45" s="12" t="s">
        <v>71</v>
      </c>
      <c r="C45" s="6">
        <v>44240</v>
      </c>
      <c r="D45" s="6" t="str">
        <f t="shared" si="0"/>
        <v>13</v>
      </c>
      <c r="E45" s="6" t="str">
        <f t="shared" si="1"/>
        <v>Feb</v>
      </c>
      <c r="F45" s="7" t="s">
        <v>16</v>
      </c>
      <c r="G45" s="7" t="s">
        <v>23</v>
      </c>
      <c r="H45" s="7" t="s">
        <v>13</v>
      </c>
      <c r="I45" s="8">
        <v>7</v>
      </c>
      <c r="J45" s="8">
        <v>2100</v>
      </c>
      <c r="K45" s="8">
        <f t="shared" si="2"/>
        <v>14700</v>
      </c>
      <c r="L45" s="5" t="s">
        <v>26</v>
      </c>
      <c r="M45" s="7" t="b">
        <f t="shared" ca="1" si="3"/>
        <v>0</v>
      </c>
      <c r="N45" s="16" t="b">
        <f t="shared" ca="1" si="4"/>
        <v>0</v>
      </c>
    </row>
    <row r="46" spans="1:14" x14ac:dyDescent="0.35">
      <c r="A46" s="5">
        <v>45</v>
      </c>
      <c r="B46" s="12" t="s">
        <v>72</v>
      </c>
      <c r="C46" s="6">
        <v>44241</v>
      </c>
      <c r="D46" s="6" t="str">
        <f t="shared" si="0"/>
        <v>14</v>
      </c>
      <c r="E46" s="6" t="str">
        <f t="shared" si="1"/>
        <v>Feb</v>
      </c>
      <c r="F46" s="7" t="s">
        <v>18</v>
      </c>
      <c r="G46" s="7" t="s">
        <v>23</v>
      </c>
      <c r="H46" s="7" t="s">
        <v>13</v>
      </c>
      <c r="I46" s="8">
        <v>7</v>
      </c>
      <c r="J46" s="8">
        <v>2100</v>
      </c>
      <c r="K46" s="8">
        <f t="shared" si="2"/>
        <v>14700</v>
      </c>
      <c r="L46" s="5" t="s">
        <v>25</v>
      </c>
      <c r="M46" s="7" t="b">
        <f t="shared" ca="1" si="3"/>
        <v>0</v>
      </c>
      <c r="N46" s="16" t="b">
        <f t="shared" ca="1" si="4"/>
        <v>0</v>
      </c>
    </row>
    <row r="47" spans="1:14" x14ac:dyDescent="0.35">
      <c r="A47" s="5">
        <v>46</v>
      </c>
      <c r="B47" s="12" t="s">
        <v>73</v>
      </c>
      <c r="C47" s="6">
        <v>44242</v>
      </c>
      <c r="D47" s="6" t="str">
        <f t="shared" si="0"/>
        <v>15</v>
      </c>
      <c r="E47" s="6" t="str">
        <f t="shared" si="1"/>
        <v>Feb</v>
      </c>
      <c r="F47" s="7" t="s">
        <v>20</v>
      </c>
      <c r="G47" s="7" t="s">
        <v>23</v>
      </c>
      <c r="H47" s="7" t="s">
        <v>13</v>
      </c>
      <c r="I47" s="8">
        <v>7</v>
      </c>
      <c r="J47" s="8">
        <v>2100</v>
      </c>
      <c r="K47" s="8">
        <f t="shared" si="2"/>
        <v>14700</v>
      </c>
      <c r="L47" s="5" t="s">
        <v>26</v>
      </c>
      <c r="M47" s="7" t="b">
        <f t="shared" ca="1" si="3"/>
        <v>0</v>
      </c>
      <c r="N47" s="16" t="b">
        <f t="shared" ca="1" si="4"/>
        <v>0</v>
      </c>
    </row>
    <row r="48" spans="1:14" x14ac:dyDescent="0.35">
      <c r="A48" s="5">
        <v>47</v>
      </c>
      <c r="B48" s="12" t="s">
        <v>74</v>
      </c>
      <c r="C48" s="6">
        <v>44243</v>
      </c>
      <c r="D48" s="6" t="str">
        <f t="shared" si="0"/>
        <v>16</v>
      </c>
      <c r="E48" s="6" t="str">
        <f t="shared" si="1"/>
        <v>Feb</v>
      </c>
      <c r="F48" s="7" t="s">
        <v>20</v>
      </c>
      <c r="G48" s="7" t="s">
        <v>9</v>
      </c>
      <c r="H48" s="7" t="s">
        <v>13</v>
      </c>
      <c r="I48" s="8">
        <v>7</v>
      </c>
      <c r="J48" s="8">
        <v>2100</v>
      </c>
      <c r="K48" s="8">
        <f t="shared" si="2"/>
        <v>14700</v>
      </c>
      <c r="L48" s="5" t="s">
        <v>25</v>
      </c>
      <c r="M48" s="7" t="b">
        <f t="shared" ca="1" si="3"/>
        <v>0</v>
      </c>
      <c r="N48" s="16" t="b">
        <f t="shared" ca="1" si="4"/>
        <v>0</v>
      </c>
    </row>
    <row r="49" spans="1:14" x14ac:dyDescent="0.35">
      <c r="A49" s="5">
        <v>48</v>
      </c>
      <c r="B49" s="12" t="s">
        <v>75</v>
      </c>
      <c r="C49" s="6">
        <v>44244</v>
      </c>
      <c r="D49" s="6" t="str">
        <f t="shared" si="0"/>
        <v>17</v>
      </c>
      <c r="E49" s="6" t="str">
        <f t="shared" si="1"/>
        <v>Feb</v>
      </c>
      <c r="F49" s="7" t="s">
        <v>20</v>
      </c>
      <c r="G49" s="7" t="s">
        <v>12</v>
      </c>
      <c r="H49" s="7" t="s">
        <v>13</v>
      </c>
      <c r="I49" s="8">
        <v>7</v>
      </c>
      <c r="J49" s="8">
        <v>2100</v>
      </c>
      <c r="K49" s="8">
        <f t="shared" si="2"/>
        <v>14700</v>
      </c>
      <c r="L49" s="5" t="s">
        <v>26</v>
      </c>
      <c r="M49" s="7" t="b">
        <f t="shared" ca="1" si="3"/>
        <v>0</v>
      </c>
      <c r="N49" s="16" t="b">
        <f t="shared" ca="1" si="4"/>
        <v>0</v>
      </c>
    </row>
    <row r="50" spans="1:14" x14ac:dyDescent="0.35">
      <c r="A50" s="5">
        <v>49</v>
      </c>
      <c r="B50" s="12" t="s">
        <v>76</v>
      </c>
      <c r="C50" s="6">
        <v>44245</v>
      </c>
      <c r="D50" s="6" t="str">
        <f t="shared" si="0"/>
        <v>18</v>
      </c>
      <c r="E50" s="6" t="str">
        <f t="shared" si="1"/>
        <v>Feb</v>
      </c>
      <c r="F50" s="7" t="s">
        <v>20</v>
      </c>
      <c r="G50" s="7" t="s">
        <v>22</v>
      </c>
      <c r="H50" s="7" t="s">
        <v>13</v>
      </c>
      <c r="I50" s="8">
        <v>7</v>
      </c>
      <c r="J50" s="8">
        <v>2100</v>
      </c>
      <c r="K50" s="8">
        <f t="shared" si="2"/>
        <v>14700</v>
      </c>
      <c r="L50" s="5" t="s">
        <v>25</v>
      </c>
      <c r="M50" s="7" t="b">
        <f t="shared" ca="1" si="3"/>
        <v>0</v>
      </c>
      <c r="N50" s="16" t="b">
        <f t="shared" ca="1" si="4"/>
        <v>0</v>
      </c>
    </row>
    <row r="51" spans="1:14" x14ac:dyDescent="0.35">
      <c r="A51" s="5">
        <v>50</v>
      </c>
      <c r="B51" s="12" t="s">
        <v>77</v>
      </c>
      <c r="C51" s="6">
        <v>44246</v>
      </c>
      <c r="D51" s="6" t="str">
        <f t="shared" si="0"/>
        <v>19</v>
      </c>
      <c r="E51" s="6" t="str">
        <f t="shared" si="1"/>
        <v>Feb</v>
      </c>
      <c r="F51" s="7" t="s">
        <v>20</v>
      </c>
      <c r="G51" s="7" t="s">
        <v>23</v>
      </c>
      <c r="H51" s="7" t="s">
        <v>13</v>
      </c>
      <c r="I51" s="8">
        <v>7</v>
      </c>
      <c r="J51" s="8">
        <v>2100</v>
      </c>
      <c r="K51" s="8">
        <f t="shared" si="2"/>
        <v>14700</v>
      </c>
      <c r="L51" s="5" t="s">
        <v>26</v>
      </c>
      <c r="M51" s="7" t="b">
        <f t="shared" ca="1" si="3"/>
        <v>0</v>
      </c>
      <c r="N51" s="16" t="b">
        <f t="shared" ca="1" si="4"/>
        <v>0</v>
      </c>
    </row>
    <row r="52" spans="1:14" x14ac:dyDescent="0.35">
      <c r="A52" s="5">
        <v>51</v>
      </c>
      <c r="B52" s="12" t="s">
        <v>78</v>
      </c>
      <c r="C52" s="6">
        <v>44247</v>
      </c>
      <c r="D52" s="6" t="str">
        <f t="shared" si="0"/>
        <v>20</v>
      </c>
      <c r="E52" s="6" t="str">
        <f t="shared" si="1"/>
        <v>Feb</v>
      </c>
      <c r="F52" s="7" t="s">
        <v>20</v>
      </c>
      <c r="G52" s="7" t="s">
        <v>9</v>
      </c>
      <c r="H52" s="7" t="s">
        <v>10</v>
      </c>
      <c r="I52" s="8">
        <v>7</v>
      </c>
      <c r="J52" s="8">
        <v>210</v>
      </c>
      <c r="K52" s="8">
        <f t="shared" si="2"/>
        <v>1470</v>
      </c>
      <c r="L52" s="5" t="s">
        <v>25</v>
      </c>
      <c r="M52" s="7" t="b">
        <f t="shared" ca="1" si="3"/>
        <v>0</v>
      </c>
      <c r="N52" s="16" t="b">
        <f t="shared" ca="1" si="4"/>
        <v>0</v>
      </c>
    </row>
    <row r="53" spans="1:14" x14ac:dyDescent="0.35">
      <c r="A53" s="5">
        <v>52</v>
      </c>
      <c r="B53" s="12" t="s">
        <v>79</v>
      </c>
      <c r="C53" s="6">
        <v>44248</v>
      </c>
      <c r="D53" s="6" t="str">
        <f t="shared" si="0"/>
        <v>21</v>
      </c>
      <c r="E53" s="6" t="str">
        <f t="shared" si="1"/>
        <v>Feb</v>
      </c>
      <c r="F53" s="7" t="s">
        <v>20</v>
      </c>
      <c r="G53" s="7" t="s">
        <v>12</v>
      </c>
      <c r="H53" s="7" t="s">
        <v>13</v>
      </c>
      <c r="I53" s="8">
        <v>6</v>
      </c>
      <c r="J53" s="8">
        <v>2100</v>
      </c>
      <c r="K53" s="8">
        <f t="shared" si="2"/>
        <v>12600</v>
      </c>
      <c r="L53" s="5" t="s">
        <v>26</v>
      </c>
      <c r="M53" s="7" t="b">
        <f t="shared" ca="1" si="3"/>
        <v>0</v>
      </c>
      <c r="N53" s="16" t="b">
        <f t="shared" ca="1" si="4"/>
        <v>0</v>
      </c>
    </row>
    <row r="54" spans="1:14" x14ac:dyDescent="0.35">
      <c r="A54" s="5">
        <v>53</v>
      </c>
      <c r="B54" s="12" t="s">
        <v>80</v>
      </c>
      <c r="C54" s="6">
        <v>44249</v>
      </c>
      <c r="D54" s="6" t="str">
        <f t="shared" si="0"/>
        <v>22</v>
      </c>
      <c r="E54" s="6" t="str">
        <f t="shared" si="1"/>
        <v>Feb</v>
      </c>
      <c r="F54" s="7" t="s">
        <v>20</v>
      </c>
      <c r="G54" s="7" t="s">
        <v>22</v>
      </c>
      <c r="H54" s="7" t="s">
        <v>15</v>
      </c>
      <c r="I54" s="8">
        <v>5</v>
      </c>
      <c r="J54" s="8">
        <v>1200</v>
      </c>
      <c r="K54" s="8">
        <f t="shared" si="2"/>
        <v>6000</v>
      </c>
      <c r="L54" s="5" t="s">
        <v>25</v>
      </c>
      <c r="M54" s="7" t="b">
        <f t="shared" ca="1" si="3"/>
        <v>0</v>
      </c>
      <c r="N54" s="16" t="b">
        <f t="shared" ca="1" si="4"/>
        <v>0</v>
      </c>
    </row>
    <row r="55" spans="1:14" x14ac:dyDescent="0.35">
      <c r="A55" s="5">
        <v>54</v>
      </c>
      <c r="B55" s="12" t="s">
        <v>81</v>
      </c>
      <c r="C55" s="6">
        <v>44250</v>
      </c>
      <c r="D55" s="6" t="str">
        <f t="shared" si="0"/>
        <v>23</v>
      </c>
      <c r="E55" s="6" t="str">
        <f t="shared" si="1"/>
        <v>Feb</v>
      </c>
      <c r="F55" s="7" t="s">
        <v>20</v>
      </c>
      <c r="G55" s="7" t="s">
        <v>23</v>
      </c>
      <c r="H55" s="7" t="s">
        <v>17</v>
      </c>
      <c r="I55" s="8">
        <v>4</v>
      </c>
      <c r="J55" s="8">
        <v>1500</v>
      </c>
      <c r="K55" s="8">
        <f t="shared" si="2"/>
        <v>6000</v>
      </c>
      <c r="L55" s="5" t="s">
        <v>26</v>
      </c>
      <c r="M55" s="7" t="b">
        <f t="shared" ca="1" si="3"/>
        <v>0</v>
      </c>
      <c r="N55" s="16" t="b">
        <f t="shared" ca="1" si="4"/>
        <v>0</v>
      </c>
    </row>
    <row r="56" spans="1:14" x14ac:dyDescent="0.35">
      <c r="A56" s="5">
        <v>55</v>
      </c>
      <c r="B56" s="12" t="s">
        <v>82</v>
      </c>
      <c r="C56" s="6">
        <v>44251</v>
      </c>
      <c r="D56" s="6" t="str">
        <f t="shared" si="0"/>
        <v>24</v>
      </c>
      <c r="E56" s="6" t="str">
        <f t="shared" si="1"/>
        <v>Feb</v>
      </c>
      <c r="F56" s="7" t="s">
        <v>8</v>
      </c>
      <c r="G56" s="7" t="s">
        <v>9</v>
      </c>
      <c r="H56" s="7" t="s">
        <v>19</v>
      </c>
      <c r="I56" s="8">
        <v>3</v>
      </c>
      <c r="J56" s="8">
        <v>300</v>
      </c>
      <c r="K56" s="8">
        <f t="shared" si="2"/>
        <v>900</v>
      </c>
      <c r="L56" s="5" t="s">
        <v>25</v>
      </c>
      <c r="M56" s="7" t="b">
        <f t="shared" ca="1" si="3"/>
        <v>0</v>
      </c>
      <c r="N56" s="16" t="b">
        <f t="shared" ca="1" si="4"/>
        <v>0</v>
      </c>
    </row>
    <row r="57" spans="1:14" x14ac:dyDescent="0.35">
      <c r="A57" s="5">
        <v>56</v>
      </c>
      <c r="B57" s="12" t="s">
        <v>83</v>
      </c>
      <c r="C57" s="6">
        <v>44252</v>
      </c>
      <c r="D57" s="6" t="str">
        <f t="shared" si="0"/>
        <v>25</v>
      </c>
      <c r="E57" s="6" t="str">
        <f t="shared" si="1"/>
        <v>Feb</v>
      </c>
      <c r="F57" s="7" t="s">
        <v>11</v>
      </c>
      <c r="G57" s="7" t="s">
        <v>12</v>
      </c>
      <c r="H57" s="7" t="s">
        <v>21</v>
      </c>
      <c r="I57" s="8">
        <v>2</v>
      </c>
      <c r="J57" s="8">
        <v>190</v>
      </c>
      <c r="K57" s="8">
        <f t="shared" si="2"/>
        <v>380</v>
      </c>
      <c r="L57" s="5" t="s">
        <v>26</v>
      </c>
      <c r="M57" s="7" t="b">
        <f t="shared" ca="1" si="3"/>
        <v>0</v>
      </c>
      <c r="N57" s="16" t="b">
        <f t="shared" ca="1" si="4"/>
        <v>0</v>
      </c>
    </row>
    <row r="58" spans="1:14" x14ac:dyDescent="0.35">
      <c r="A58" s="5">
        <v>57</v>
      </c>
      <c r="B58" s="12" t="s">
        <v>84</v>
      </c>
      <c r="C58" s="6">
        <v>44253</v>
      </c>
      <c r="D58" s="6" t="str">
        <f t="shared" si="0"/>
        <v>26</v>
      </c>
      <c r="E58" s="6" t="str">
        <f t="shared" si="1"/>
        <v>Feb</v>
      </c>
      <c r="F58" s="7" t="s">
        <v>14</v>
      </c>
      <c r="G58" s="7" t="s">
        <v>9</v>
      </c>
      <c r="H58" s="7" t="s">
        <v>10</v>
      </c>
      <c r="I58" s="8">
        <v>7</v>
      </c>
      <c r="J58" s="8">
        <v>210</v>
      </c>
      <c r="K58" s="8">
        <f t="shared" si="2"/>
        <v>1470</v>
      </c>
      <c r="L58" s="5" t="s">
        <v>25</v>
      </c>
      <c r="M58" s="7" t="b">
        <f t="shared" ca="1" si="3"/>
        <v>0</v>
      </c>
      <c r="N58" s="16" t="b">
        <f t="shared" ca="1" si="4"/>
        <v>0</v>
      </c>
    </row>
    <row r="59" spans="1:14" x14ac:dyDescent="0.35">
      <c r="A59" s="5">
        <v>58</v>
      </c>
      <c r="B59" s="12" t="s">
        <v>85</v>
      </c>
      <c r="C59" s="6">
        <v>44254</v>
      </c>
      <c r="D59" s="6" t="str">
        <f t="shared" si="0"/>
        <v>27</v>
      </c>
      <c r="E59" s="6" t="str">
        <f t="shared" si="1"/>
        <v>Feb</v>
      </c>
      <c r="F59" s="7" t="s">
        <v>16</v>
      </c>
      <c r="G59" s="7" t="s">
        <v>12</v>
      </c>
      <c r="H59" s="7" t="s">
        <v>13</v>
      </c>
      <c r="I59" s="8">
        <v>6</v>
      </c>
      <c r="J59" s="8">
        <v>2100</v>
      </c>
      <c r="K59" s="8">
        <f t="shared" si="2"/>
        <v>12600</v>
      </c>
      <c r="L59" s="5" t="s">
        <v>26</v>
      </c>
      <c r="M59" s="7" t="b">
        <f t="shared" ca="1" si="3"/>
        <v>0</v>
      </c>
      <c r="N59" s="16" t="b">
        <f t="shared" ca="1" si="4"/>
        <v>0</v>
      </c>
    </row>
    <row r="60" spans="1:14" x14ac:dyDescent="0.35">
      <c r="A60" s="5">
        <v>59</v>
      </c>
      <c r="B60" s="12" t="s">
        <v>86</v>
      </c>
      <c r="C60" s="6">
        <v>44255</v>
      </c>
      <c r="D60" s="6" t="str">
        <f t="shared" si="0"/>
        <v>28</v>
      </c>
      <c r="E60" s="6" t="str">
        <f t="shared" si="1"/>
        <v>Feb</v>
      </c>
      <c r="F60" s="7" t="s">
        <v>18</v>
      </c>
      <c r="G60" s="7" t="s">
        <v>9</v>
      </c>
      <c r="H60" s="7" t="s">
        <v>15</v>
      </c>
      <c r="I60" s="8">
        <v>5</v>
      </c>
      <c r="J60" s="8">
        <v>1200</v>
      </c>
      <c r="K60" s="8">
        <f t="shared" si="2"/>
        <v>6000</v>
      </c>
      <c r="L60" s="5" t="s">
        <v>25</v>
      </c>
      <c r="M60" s="7" t="b">
        <f t="shared" ca="1" si="3"/>
        <v>0</v>
      </c>
      <c r="N60" s="16" t="b">
        <f t="shared" ca="1" si="4"/>
        <v>0</v>
      </c>
    </row>
    <row r="61" spans="1:14" x14ac:dyDescent="0.35">
      <c r="A61" s="5">
        <v>60</v>
      </c>
      <c r="B61" s="12" t="s">
        <v>87</v>
      </c>
      <c r="C61" s="6">
        <v>44256</v>
      </c>
      <c r="D61" s="6" t="str">
        <f t="shared" si="0"/>
        <v>01</v>
      </c>
      <c r="E61" s="6" t="str">
        <f t="shared" si="1"/>
        <v>Mar</v>
      </c>
      <c r="F61" s="7" t="s">
        <v>20</v>
      </c>
      <c r="G61" s="7" t="s">
        <v>9</v>
      </c>
      <c r="H61" s="7" t="s">
        <v>17</v>
      </c>
      <c r="I61" s="8">
        <v>4</v>
      </c>
      <c r="J61" s="8">
        <v>1500</v>
      </c>
      <c r="K61" s="8">
        <f t="shared" si="2"/>
        <v>6000</v>
      </c>
      <c r="L61" s="5" t="s">
        <v>26</v>
      </c>
      <c r="M61" s="7" t="b">
        <f t="shared" ca="1" si="3"/>
        <v>0</v>
      </c>
      <c r="N61" s="16" t="b">
        <f t="shared" ca="1" si="4"/>
        <v>0</v>
      </c>
    </row>
    <row r="62" spans="1:14" x14ac:dyDescent="0.35">
      <c r="A62" s="5">
        <v>61</v>
      </c>
      <c r="B62" s="12" t="s">
        <v>88</v>
      </c>
      <c r="C62" s="6">
        <v>44257</v>
      </c>
      <c r="D62" s="6" t="str">
        <f t="shared" si="0"/>
        <v>02</v>
      </c>
      <c r="E62" s="6" t="str">
        <f t="shared" si="1"/>
        <v>Mar</v>
      </c>
      <c r="F62" s="7" t="s">
        <v>8</v>
      </c>
      <c r="G62" s="7" t="s">
        <v>9</v>
      </c>
      <c r="H62" s="7" t="s">
        <v>19</v>
      </c>
      <c r="I62" s="8">
        <v>3</v>
      </c>
      <c r="J62" s="8">
        <v>300</v>
      </c>
      <c r="K62" s="8">
        <f t="shared" si="2"/>
        <v>900</v>
      </c>
      <c r="L62" s="5" t="s">
        <v>25</v>
      </c>
      <c r="M62" s="7" t="b">
        <f t="shared" ca="1" si="3"/>
        <v>0</v>
      </c>
      <c r="N62" s="16" t="b">
        <f t="shared" ca="1" si="4"/>
        <v>0</v>
      </c>
    </row>
    <row r="63" spans="1:14" x14ac:dyDescent="0.35">
      <c r="A63" s="5">
        <v>62</v>
      </c>
      <c r="B63" s="12" t="s">
        <v>89</v>
      </c>
      <c r="C63" s="6">
        <v>44258</v>
      </c>
      <c r="D63" s="6" t="str">
        <f t="shared" si="0"/>
        <v>03</v>
      </c>
      <c r="E63" s="6" t="str">
        <f t="shared" si="1"/>
        <v>Mar</v>
      </c>
      <c r="F63" s="7" t="s">
        <v>11</v>
      </c>
      <c r="G63" s="7" t="s">
        <v>12</v>
      </c>
      <c r="H63" s="7" t="s">
        <v>21</v>
      </c>
      <c r="I63" s="8">
        <v>2</v>
      </c>
      <c r="J63" s="8">
        <v>190</v>
      </c>
      <c r="K63" s="8">
        <f t="shared" si="2"/>
        <v>380</v>
      </c>
      <c r="L63" s="5" t="s">
        <v>26</v>
      </c>
      <c r="M63" s="7" t="b">
        <f t="shared" ca="1" si="3"/>
        <v>0</v>
      </c>
      <c r="N63" s="16" t="b">
        <f t="shared" ca="1" si="4"/>
        <v>0</v>
      </c>
    </row>
    <row r="64" spans="1:14" x14ac:dyDescent="0.35">
      <c r="A64" s="5">
        <v>63</v>
      </c>
      <c r="B64" s="12" t="s">
        <v>90</v>
      </c>
      <c r="C64" s="6">
        <v>44259</v>
      </c>
      <c r="D64" s="6" t="str">
        <f t="shared" si="0"/>
        <v>04</v>
      </c>
      <c r="E64" s="6" t="str">
        <f t="shared" si="1"/>
        <v>Mar</v>
      </c>
      <c r="F64" s="7" t="s">
        <v>14</v>
      </c>
      <c r="G64" s="7" t="s">
        <v>12</v>
      </c>
      <c r="H64" s="7" t="s">
        <v>10</v>
      </c>
      <c r="I64" s="8">
        <v>2</v>
      </c>
      <c r="J64" s="8">
        <v>210</v>
      </c>
      <c r="K64" s="8">
        <f t="shared" si="2"/>
        <v>420</v>
      </c>
      <c r="L64" s="5" t="s">
        <v>25</v>
      </c>
      <c r="M64" s="7" t="b">
        <f t="shared" ca="1" si="3"/>
        <v>0</v>
      </c>
      <c r="N64" s="16" t="b">
        <f t="shared" ca="1" si="4"/>
        <v>0</v>
      </c>
    </row>
    <row r="65" spans="1:14" x14ac:dyDescent="0.35">
      <c r="A65" s="5">
        <v>64</v>
      </c>
      <c r="B65" s="12" t="s">
        <v>91</v>
      </c>
      <c r="C65" s="6">
        <v>44260</v>
      </c>
      <c r="D65" s="6" t="str">
        <f t="shared" si="0"/>
        <v>05</v>
      </c>
      <c r="E65" s="6" t="str">
        <f t="shared" si="1"/>
        <v>Mar</v>
      </c>
      <c r="F65" s="7" t="s">
        <v>16</v>
      </c>
      <c r="G65" s="7" t="s">
        <v>9</v>
      </c>
      <c r="H65" s="7" t="s">
        <v>13</v>
      </c>
      <c r="I65" s="8">
        <v>7</v>
      </c>
      <c r="J65" s="8">
        <v>2100</v>
      </c>
      <c r="K65" s="8">
        <f t="shared" si="2"/>
        <v>14700</v>
      </c>
      <c r="L65" s="5" t="s">
        <v>26</v>
      </c>
      <c r="M65" s="7" t="b">
        <f t="shared" ca="1" si="3"/>
        <v>0</v>
      </c>
      <c r="N65" s="16" t="b">
        <f t="shared" ca="1" si="4"/>
        <v>0</v>
      </c>
    </row>
    <row r="66" spans="1:14" x14ac:dyDescent="0.35">
      <c r="A66" s="5">
        <v>65</v>
      </c>
      <c r="B66" s="12" t="s">
        <v>92</v>
      </c>
      <c r="C66" s="6">
        <v>44261</v>
      </c>
      <c r="D66" s="6" t="str">
        <f t="shared" si="0"/>
        <v>06</v>
      </c>
      <c r="E66" s="6" t="str">
        <f t="shared" si="1"/>
        <v>Mar</v>
      </c>
      <c r="F66" s="7" t="s">
        <v>18</v>
      </c>
      <c r="G66" s="7" t="s">
        <v>9</v>
      </c>
      <c r="H66" s="7" t="s">
        <v>15</v>
      </c>
      <c r="I66" s="8">
        <v>6</v>
      </c>
      <c r="J66" s="8">
        <v>1200</v>
      </c>
      <c r="K66" s="8">
        <f t="shared" si="2"/>
        <v>7200</v>
      </c>
      <c r="L66" s="5" t="s">
        <v>25</v>
      </c>
      <c r="M66" s="7" t="b">
        <f t="shared" ca="1" si="3"/>
        <v>0</v>
      </c>
      <c r="N66" s="16" t="b">
        <f t="shared" ca="1" si="4"/>
        <v>0</v>
      </c>
    </row>
    <row r="67" spans="1:14" x14ac:dyDescent="0.35">
      <c r="A67" s="5">
        <v>66</v>
      </c>
      <c r="B67" s="12" t="s">
        <v>93</v>
      </c>
      <c r="C67" s="6">
        <v>44262</v>
      </c>
      <c r="D67" s="6" t="str">
        <f t="shared" ref="D67:D130" si="5">TEXT(C67,"dd")</f>
        <v>07</v>
      </c>
      <c r="E67" s="6" t="str">
        <f t="shared" ref="E67:E130" si="6">TEXT(C67,"mmm")</f>
        <v>Mar</v>
      </c>
      <c r="F67" s="7" t="s">
        <v>20</v>
      </c>
      <c r="G67" s="7" t="s">
        <v>12</v>
      </c>
      <c r="H67" s="7" t="s">
        <v>17</v>
      </c>
      <c r="I67" s="8">
        <v>5</v>
      </c>
      <c r="J67" s="8">
        <v>1500</v>
      </c>
      <c r="K67" s="8">
        <f t="shared" ref="K67:K130" si="7">I67*J67</f>
        <v>7500</v>
      </c>
      <c r="L67" s="5" t="s">
        <v>26</v>
      </c>
      <c r="M67" s="7" t="b">
        <f t="shared" ref="M67:M130" ca="1" si="8">AND(A67&gt;=(TODAY()-28),A67&lt;TODAY())</f>
        <v>0</v>
      </c>
      <c r="N67" s="16" t="b">
        <f t="shared" ref="N67:N130" ca="1" si="9">AND(A67&gt;=(TODAY()-56),A67&lt;(TODAY()-28))</f>
        <v>0</v>
      </c>
    </row>
    <row r="68" spans="1:14" x14ac:dyDescent="0.35">
      <c r="A68" s="5">
        <v>67</v>
      </c>
      <c r="B68" s="12" t="s">
        <v>94</v>
      </c>
      <c r="C68" s="6">
        <v>44263</v>
      </c>
      <c r="D68" s="6" t="str">
        <f t="shared" si="5"/>
        <v>08</v>
      </c>
      <c r="E68" s="6" t="str">
        <f t="shared" si="6"/>
        <v>Mar</v>
      </c>
      <c r="F68" s="7" t="s">
        <v>20</v>
      </c>
      <c r="G68" s="7" t="s">
        <v>9</v>
      </c>
      <c r="H68" s="7" t="s">
        <v>19</v>
      </c>
      <c r="I68" s="8">
        <v>4</v>
      </c>
      <c r="J68" s="8">
        <v>300</v>
      </c>
      <c r="K68" s="8">
        <f t="shared" si="7"/>
        <v>1200</v>
      </c>
      <c r="L68" s="5" t="s">
        <v>25</v>
      </c>
      <c r="M68" s="7" t="b">
        <f t="shared" ca="1" si="8"/>
        <v>0</v>
      </c>
      <c r="N68" s="16" t="b">
        <f t="shared" ca="1" si="9"/>
        <v>0</v>
      </c>
    </row>
    <row r="69" spans="1:14" x14ac:dyDescent="0.35">
      <c r="A69" s="5">
        <v>68</v>
      </c>
      <c r="B69" s="12" t="s">
        <v>95</v>
      </c>
      <c r="C69" s="6">
        <v>44264</v>
      </c>
      <c r="D69" s="6" t="str">
        <f t="shared" si="5"/>
        <v>09</v>
      </c>
      <c r="E69" s="6" t="str">
        <f t="shared" si="6"/>
        <v>Mar</v>
      </c>
      <c r="F69" s="7" t="s">
        <v>8</v>
      </c>
      <c r="G69" s="7" t="s">
        <v>9</v>
      </c>
      <c r="H69" s="7" t="s">
        <v>21</v>
      </c>
      <c r="I69" s="8">
        <v>3</v>
      </c>
      <c r="J69" s="8">
        <v>190</v>
      </c>
      <c r="K69" s="8">
        <f t="shared" si="7"/>
        <v>570</v>
      </c>
      <c r="L69" s="5" t="s">
        <v>26</v>
      </c>
      <c r="M69" s="7" t="b">
        <f t="shared" ca="1" si="8"/>
        <v>0</v>
      </c>
      <c r="N69" s="16" t="b">
        <f t="shared" ca="1" si="9"/>
        <v>0</v>
      </c>
    </row>
    <row r="70" spans="1:14" x14ac:dyDescent="0.35">
      <c r="A70" s="5">
        <v>69</v>
      </c>
      <c r="B70" s="12" t="s">
        <v>96</v>
      </c>
      <c r="C70" s="6">
        <v>44265</v>
      </c>
      <c r="D70" s="6" t="str">
        <f t="shared" si="5"/>
        <v>10</v>
      </c>
      <c r="E70" s="6" t="str">
        <f t="shared" si="6"/>
        <v>Mar</v>
      </c>
      <c r="F70" s="7" t="s">
        <v>11</v>
      </c>
      <c r="G70" s="7" t="s">
        <v>9</v>
      </c>
      <c r="H70" s="7" t="s">
        <v>10</v>
      </c>
      <c r="I70" s="8">
        <v>2</v>
      </c>
      <c r="J70" s="8">
        <v>210</v>
      </c>
      <c r="K70" s="8">
        <f t="shared" si="7"/>
        <v>420</v>
      </c>
      <c r="L70" s="5" t="s">
        <v>25</v>
      </c>
      <c r="M70" s="7" t="b">
        <f t="shared" ca="1" si="8"/>
        <v>0</v>
      </c>
      <c r="N70" s="16" t="b">
        <f t="shared" ca="1" si="9"/>
        <v>0</v>
      </c>
    </row>
    <row r="71" spans="1:14" x14ac:dyDescent="0.35">
      <c r="A71" s="5">
        <v>70</v>
      </c>
      <c r="B71" s="12" t="s">
        <v>97</v>
      </c>
      <c r="C71" s="6">
        <v>44266</v>
      </c>
      <c r="D71" s="6" t="str">
        <f t="shared" si="5"/>
        <v>11</v>
      </c>
      <c r="E71" s="6" t="str">
        <f t="shared" si="6"/>
        <v>Mar</v>
      </c>
      <c r="F71" s="7" t="s">
        <v>14</v>
      </c>
      <c r="G71" s="7" t="s">
        <v>9</v>
      </c>
      <c r="H71" s="7" t="s">
        <v>21</v>
      </c>
      <c r="I71" s="8">
        <v>3</v>
      </c>
      <c r="J71" s="8">
        <v>190</v>
      </c>
      <c r="K71" s="8">
        <f t="shared" si="7"/>
        <v>570</v>
      </c>
      <c r="L71" s="5" t="s">
        <v>26</v>
      </c>
      <c r="M71" s="7" t="b">
        <f t="shared" ca="1" si="8"/>
        <v>0</v>
      </c>
      <c r="N71" s="16" t="b">
        <f t="shared" ca="1" si="9"/>
        <v>0</v>
      </c>
    </row>
    <row r="72" spans="1:14" x14ac:dyDescent="0.35">
      <c r="A72" s="5">
        <v>71</v>
      </c>
      <c r="B72" s="12" t="s">
        <v>98</v>
      </c>
      <c r="C72" s="6">
        <v>44267</v>
      </c>
      <c r="D72" s="6" t="str">
        <f t="shared" si="5"/>
        <v>12</v>
      </c>
      <c r="E72" s="6" t="str">
        <f t="shared" si="6"/>
        <v>Mar</v>
      </c>
      <c r="F72" s="7" t="s">
        <v>16</v>
      </c>
      <c r="G72" s="7" t="s">
        <v>9</v>
      </c>
      <c r="H72" s="7" t="s">
        <v>10</v>
      </c>
      <c r="I72" s="8">
        <v>2</v>
      </c>
      <c r="J72" s="8">
        <v>210</v>
      </c>
      <c r="K72" s="8">
        <f t="shared" si="7"/>
        <v>420</v>
      </c>
      <c r="L72" s="5" t="s">
        <v>25</v>
      </c>
      <c r="M72" s="7" t="b">
        <f t="shared" ca="1" si="8"/>
        <v>0</v>
      </c>
      <c r="N72" s="16" t="b">
        <f t="shared" ca="1" si="9"/>
        <v>0</v>
      </c>
    </row>
    <row r="73" spans="1:14" x14ac:dyDescent="0.35">
      <c r="A73" s="5">
        <v>72</v>
      </c>
      <c r="B73" s="12" t="s">
        <v>99</v>
      </c>
      <c r="C73" s="6">
        <v>44268</v>
      </c>
      <c r="D73" s="6" t="str">
        <f t="shared" si="5"/>
        <v>13</v>
      </c>
      <c r="E73" s="6" t="str">
        <f t="shared" si="6"/>
        <v>Mar</v>
      </c>
      <c r="F73" s="7" t="s">
        <v>18</v>
      </c>
      <c r="G73" s="7" t="s">
        <v>9</v>
      </c>
      <c r="H73" s="7" t="s">
        <v>21</v>
      </c>
      <c r="I73" s="8">
        <v>3</v>
      </c>
      <c r="J73" s="8">
        <v>190</v>
      </c>
      <c r="K73" s="8">
        <f t="shared" si="7"/>
        <v>570</v>
      </c>
      <c r="L73" s="5" t="s">
        <v>26</v>
      </c>
      <c r="M73" s="7" t="b">
        <f t="shared" ca="1" si="8"/>
        <v>0</v>
      </c>
      <c r="N73" s="16" t="b">
        <f t="shared" ca="1" si="9"/>
        <v>0</v>
      </c>
    </row>
    <row r="74" spans="1:14" x14ac:dyDescent="0.35">
      <c r="A74" s="5">
        <v>73</v>
      </c>
      <c r="B74" s="12" t="s">
        <v>100</v>
      </c>
      <c r="C74" s="6">
        <v>44269</v>
      </c>
      <c r="D74" s="6" t="str">
        <f t="shared" si="5"/>
        <v>14</v>
      </c>
      <c r="E74" s="6" t="str">
        <f t="shared" si="6"/>
        <v>Mar</v>
      </c>
      <c r="F74" s="7" t="s">
        <v>20</v>
      </c>
      <c r="G74" s="7" t="s">
        <v>9</v>
      </c>
      <c r="H74" s="7" t="s">
        <v>10</v>
      </c>
      <c r="I74" s="8">
        <v>2</v>
      </c>
      <c r="J74" s="8">
        <v>210</v>
      </c>
      <c r="K74" s="8">
        <f t="shared" si="7"/>
        <v>420</v>
      </c>
      <c r="L74" s="5" t="s">
        <v>25</v>
      </c>
      <c r="M74" s="7" t="b">
        <f t="shared" ca="1" si="8"/>
        <v>0</v>
      </c>
      <c r="N74" s="16" t="b">
        <f t="shared" ca="1" si="9"/>
        <v>0</v>
      </c>
    </row>
    <row r="75" spans="1:14" x14ac:dyDescent="0.35">
      <c r="A75" s="5">
        <v>74</v>
      </c>
      <c r="B75" s="12" t="s">
        <v>101</v>
      </c>
      <c r="C75" s="6">
        <v>44270</v>
      </c>
      <c r="D75" s="6" t="str">
        <f t="shared" si="5"/>
        <v>15</v>
      </c>
      <c r="E75" s="6" t="str">
        <f t="shared" si="6"/>
        <v>Mar</v>
      </c>
      <c r="F75" s="7" t="s">
        <v>8</v>
      </c>
      <c r="G75" s="7" t="s">
        <v>9</v>
      </c>
      <c r="H75" s="7" t="s">
        <v>21</v>
      </c>
      <c r="I75" s="8">
        <v>3</v>
      </c>
      <c r="J75" s="8">
        <v>190</v>
      </c>
      <c r="K75" s="8">
        <f t="shared" si="7"/>
        <v>570</v>
      </c>
      <c r="L75" s="5" t="s">
        <v>26</v>
      </c>
      <c r="M75" s="7" t="b">
        <f t="shared" ca="1" si="8"/>
        <v>0</v>
      </c>
      <c r="N75" s="16" t="b">
        <f t="shared" ca="1" si="9"/>
        <v>0</v>
      </c>
    </row>
    <row r="76" spans="1:14" x14ac:dyDescent="0.35">
      <c r="A76" s="5">
        <v>75</v>
      </c>
      <c r="B76" s="12" t="s">
        <v>102</v>
      </c>
      <c r="C76" s="6">
        <v>44271</v>
      </c>
      <c r="D76" s="6" t="str">
        <f t="shared" si="5"/>
        <v>16</v>
      </c>
      <c r="E76" s="6" t="str">
        <f t="shared" si="6"/>
        <v>Mar</v>
      </c>
      <c r="F76" s="7" t="s">
        <v>11</v>
      </c>
      <c r="G76" s="7" t="s">
        <v>12</v>
      </c>
      <c r="H76" s="7" t="s">
        <v>10</v>
      </c>
      <c r="I76" s="8">
        <v>2</v>
      </c>
      <c r="J76" s="8">
        <v>210</v>
      </c>
      <c r="K76" s="8">
        <f t="shared" si="7"/>
        <v>420</v>
      </c>
      <c r="L76" s="5" t="s">
        <v>25</v>
      </c>
      <c r="M76" s="7" t="b">
        <f t="shared" ca="1" si="8"/>
        <v>0</v>
      </c>
      <c r="N76" s="16" t="b">
        <f t="shared" ca="1" si="9"/>
        <v>0</v>
      </c>
    </row>
    <row r="77" spans="1:14" x14ac:dyDescent="0.35">
      <c r="A77" s="5">
        <v>76</v>
      </c>
      <c r="B77" s="12" t="s">
        <v>103</v>
      </c>
      <c r="C77" s="6">
        <v>44272</v>
      </c>
      <c r="D77" s="6" t="str">
        <f t="shared" si="5"/>
        <v>17</v>
      </c>
      <c r="E77" s="6" t="str">
        <f t="shared" si="6"/>
        <v>Mar</v>
      </c>
      <c r="F77" s="7" t="s">
        <v>14</v>
      </c>
      <c r="G77" s="7" t="s">
        <v>9</v>
      </c>
      <c r="H77" s="7" t="s">
        <v>21</v>
      </c>
      <c r="I77" s="8">
        <v>3</v>
      </c>
      <c r="J77" s="8">
        <v>190</v>
      </c>
      <c r="K77" s="8">
        <f t="shared" si="7"/>
        <v>570</v>
      </c>
      <c r="L77" s="5" t="s">
        <v>26</v>
      </c>
      <c r="M77" s="7" t="b">
        <f t="shared" ca="1" si="8"/>
        <v>0</v>
      </c>
      <c r="N77" s="16" t="b">
        <f t="shared" ca="1" si="9"/>
        <v>0</v>
      </c>
    </row>
    <row r="78" spans="1:14" x14ac:dyDescent="0.35">
      <c r="A78" s="5">
        <v>77</v>
      </c>
      <c r="B78" s="12" t="s">
        <v>104</v>
      </c>
      <c r="C78" s="6">
        <v>44273</v>
      </c>
      <c r="D78" s="6" t="str">
        <f t="shared" si="5"/>
        <v>18</v>
      </c>
      <c r="E78" s="6" t="str">
        <f t="shared" si="6"/>
        <v>Mar</v>
      </c>
      <c r="F78" s="7" t="s">
        <v>16</v>
      </c>
      <c r="G78" s="7" t="s">
        <v>12</v>
      </c>
      <c r="H78" s="7" t="s">
        <v>10</v>
      </c>
      <c r="I78" s="8">
        <v>2</v>
      </c>
      <c r="J78" s="8">
        <v>210</v>
      </c>
      <c r="K78" s="8">
        <f t="shared" si="7"/>
        <v>420</v>
      </c>
      <c r="L78" s="5" t="s">
        <v>25</v>
      </c>
      <c r="M78" s="7" t="b">
        <f t="shared" ca="1" si="8"/>
        <v>0</v>
      </c>
      <c r="N78" s="16" t="b">
        <f t="shared" ca="1" si="9"/>
        <v>0</v>
      </c>
    </row>
    <row r="79" spans="1:14" x14ac:dyDescent="0.35">
      <c r="A79" s="5">
        <v>78</v>
      </c>
      <c r="B79" s="12" t="s">
        <v>105</v>
      </c>
      <c r="C79" s="6">
        <v>44274</v>
      </c>
      <c r="D79" s="6" t="str">
        <f t="shared" si="5"/>
        <v>19</v>
      </c>
      <c r="E79" s="6" t="str">
        <f t="shared" si="6"/>
        <v>Mar</v>
      </c>
      <c r="F79" s="7" t="s">
        <v>18</v>
      </c>
      <c r="G79" s="7" t="s">
        <v>9</v>
      </c>
      <c r="H79" s="7" t="s">
        <v>15</v>
      </c>
      <c r="I79" s="8">
        <v>5</v>
      </c>
      <c r="J79" s="8">
        <v>1200</v>
      </c>
      <c r="K79" s="8">
        <f t="shared" si="7"/>
        <v>6000</v>
      </c>
      <c r="L79" s="5" t="s">
        <v>26</v>
      </c>
      <c r="M79" s="7" t="b">
        <f t="shared" ca="1" si="8"/>
        <v>0</v>
      </c>
      <c r="N79" s="16" t="b">
        <f t="shared" ca="1" si="9"/>
        <v>0</v>
      </c>
    </row>
    <row r="80" spans="1:14" x14ac:dyDescent="0.35">
      <c r="A80" s="5">
        <v>79</v>
      </c>
      <c r="B80" s="12" t="s">
        <v>106</v>
      </c>
      <c r="C80" s="6">
        <v>44275</v>
      </c>
      <c r="D80" s="6" t="str">
        <f t="shared" si="5"/>
        <v>20</v>
      </c>
      <c r="E80" s="6" t="str">
        <f t="shared" si="6"/>
        <v>Mar</v>
      </c>
      <c r="F80" s="7" t="s">
        <v>20</v>
      </c>
      <c r="G80" s="7" t="s">
        <v>9</v>
      </c>
      <c r="H80" s="7" t="s">
        <v>17</v>
      </c>
      <c r="I80" s="8">
        <v>4</v>
      </c>
      <c r="J80" s="8">
        <v>1500</v>
      </c>
      <c r="K80" s="8">
        <f t="shared" si="7"/>
        <v>6000</v>
      </c>
      <c r="L80" s="5" t="s">
        <v>25</v>
      </c>
      <c r="M80" s="7" t="b">
        <f t="shared" ca="1" si="8"/>
        <v>0</v>
      </c>
      <c r="N80" s="16" t="b">
        <f t="shared" ca="1" si="9"/>
        <v>0</v>
      </c>
    </row>
    <row r="81" spans="1:14" x14ac:dyDescent="0.35">
      <c r="A81" s="5">
        <v>80</v>
      </c>
      <c r="B81" s="12" t="s">
        <v>107</v>
      </c>
      <c r="C81" s="6">
        <v>44276</v>
      </c>
      <c r="D81" s="6" t="str">
        <f t="shared" si="5"/>
        <v>21</v>
      </c>
      <c r="E81" s="6" t="str">
        <f t="shared" si="6"/>
        <v>Mar</v>
      </c>
      <c r="F81" s="7" t="s">
        <v>20</v>
      </c>
      <c r="G81" s="7" t="s">
        <v>9</v>
      </c>
      <c r="H81" s="7" t="s">
        <v>19</v>
      </c>
      <c r="I81" s="8">
        <v>3</v>
      </c>
      <c r="J81" s="8">
        <v>300</v>
      </c>
      <c r="K81" s="8">
        <f t="shared" si="7"/>
        <v>900</v>
      </c>
      <c r="L81" s="5" t="s">
        <v>26</v>
      </c>
      <c r="M81" s="7" t="b">
        <f t="shared" ca="1" si="8"/>
        <v>0</v>
      </c>
      <c r="N81" s="16" t="b">
        <f t="shared" ca="1" si="9"/>
        <v>0</v>
      </c>
    </row>
    <row r="82" spans="1:14" x14ac:dyDescent="0.35">
      <c r="A82" s="5">
        <v>81</v>
      </c>
      <c r="B82" s="12" t="s">
        <v>108</v>
      </c>
      <c r="C82" s="6">
        <v>44277</v>
      </c>
      <c r="D82" s="6" t="str">
        <f t="shared" si="5"/>
        <v>22</v>
      </c>
      <c r="E82" s="6" t="str">
        <f t="shared" si="6"/>
        <v>Mar</v>
      </c>
      <c r="F82" s="7" t="s">
        <v>8</v>
      </c>
      <c r="G82" s="7" t="s">
        <v>9</v>
      </c>
      <c r="H82" s="7" t="s">
        <v>21</v>
      </c>
      <c r="I82" s="8">
        <v>2</v>
      </c>
      <c r="J82" s="8">
        <v>190</v>
      </c>
      <c r="K82" s="8">
        <f t="shared" si="7"/>
        <v>380</v>
      </c>
      <c r="L82" s="5" t="s">
        <v>25</v>
      </c>
      <c r="M82" s="7" t="b">
        <f t="shared" ca="1" si="8"/>
        <v>0</v>
      </c>
      <c r="N82" s="16" t="b">
        <f t="shared" ca="1" si="9"/>
        <v>0</v>
      </c>
    </row>
    <row r="83" spans="1:14" x14ac:dyDescent="0.35">
      <c r="A83" s="5">
        <v>82</v>
      </c>
      <c r="B83" s="12" t="s">
        <v>109</v>
      </c>
      <c r="C83" s="6">
        <v>44278</v>
      </c>
      <c r="D83" s="6" t="str">
        <f t="shared" si="5"/>
        <v>23</v>
      </c>
      <c r="E83" s="6" t="str">
        <f t="shared" si="6"/>
        <v>Mar</v>
      </c>
      <c r="F83" s="7" t="s">
        <v>8</v>
      </c>
      <c r="G83" s="7" t="s">
        <v>12</v>
      </c>
      <c r="H83" s="7" t="s">
        <v>10</v>
      </c>
      <c r="I83" s="8">
        <v>7</v>
      </c>
      <c r="J83" s="8">
        <v>210</v>
      </c>
      <c r="K83" s="8">
        <f t="shared" si="7"/>
        <v>1470</v>
      </c>
      <c r="L83" s="5" t="s">
        <v>26</v>
      </c>
      <c r="M83" s="7" t="b">
        <f t="shared" ca="1" si="8"/>
        <v>0</v>
      </c>
      <c r="N83" s="16" t="b">
        <f t="shared" ca="1" si="9"/>
        <v>0</v>
      </c>
    </row>
    <row r="84" spans="1:14" x14ac:dyDescent="0.35">
      <c r="A84" s="5">
        <v>83</v>
      </c>
      <c r="B84" s="12" t="s">
        <v>110</v>
      </c>
      <c r="C84" s="6">
        <v>44279</v>
      </c>
      <c r="D84" s="6" t="str">
        <f t="shared" si="5"/>
        <v>24</v>
      </c>
      <c r="E84" s="6" t="str">
        <f t="shared" si="6"/>
        <v>Mar</v>
      </c>
      <c r="F84" s="7" t="s">
        <v>8</v>
      </c>
      <c r="G84" s="7" t="s">
        <v>22</v>
      </c>
      <c r="H84" s="7" t="s">
        <v>13</v>
      </c>
      <c r="I84" s="8">
        <v>6</v>
      </c>
      <c r="J84" s="8">
        <v>2100</v>
      </c>
      <c r="K84" s="8">
        <f t="shared" si="7"/>
        <v>12600</v>
      </c>
      <c r="L84" s="5" t="s">
        <v>25</v>
      </c>
      <c r="M84" s="7" t="b">
        <f t="shared" ca="1" si="8"/>
        <v>0</v>
      </c>
      <c r="N84" s="16" t="b">
        <f t="shared" ca="1" si="9"/>
        <v>0</v>
      </c>
    </row>
    <row r="85" spans="1:14" x14ac:dyDescent="0.35">
      <c r="A85" s="5">
        <v>84</v>
      </c>
      <c r="B85" s="12" t="s">
        <v>111</v>
      </c>
      <c r="C85" s="6">
        <v>44280</v>
      </c>
      <c r="D85" s="6" t="str">
        <f t="shared" si="5"/>
        <v>25</v>
      </c>
      <c r="E85" s="6" t="str">
        <f t="shared" si="6"/>
        <v>Mar</v>
      </c>
      <c r="F85" s="7" t="s">
        <v>8</v>
      </c>
      <c r="G85" s="7" t="s">
        <v>23</v>
      </c>
      <c r="H85" s="7" t="s">
        <v>15</v>
      </c>
      <c r="I85" s="8">
        <v>5</v>
      </c>
      <c r="J85" s="8">
        <v>1200</v>
      </c>
      <c r="K85" s="8">
        <f t="shared" si="7"/>
        <v>6000</v>
      </c>
      <c r="L85" s="5" t="s">
        <v>26</v>
      </c>
      <c r="M85" s="7" t="b">
        <f t="shared" ca="1" si="8"/>
        <v>0</v>
      </c>
      <c r="N85" s="16" t="b">
        <f t="shared" ca="1" si="9"/>
        <v>0</v>
      </c>
    </row>
    <row r="86" spans="1:14" x14ac:dyDescent="0.35">
      <c r="A86" s="5">
        <v>85</v>
      </c>
      <c r="B86" s="12" t="s">
        <v>112</v>
      </c>
      <c r="C86" s="6">
        <v>44281</v>
      </c>
      <c r="D86" s="6" t="str">
        <f t="shared" si="5"/>
        <v>26</v>
      </c>
      <c r="E86" s="6" t="str">
        <f t="shared" si="6"/>
        <v>Mar</v>
      </c>
      <c r="F86" s="7" t="s">
        <v>8</v>
      </c>
      <c r="G86" s="7" t="s">
        <v>9</v>
      </c>
      <c r="H86" s="7" t="s">
        <v>17</v>
      </c>
      <c r="I86" s="8">
        <v>4</v>
      </c>
      <c r="J86" s="8">
        <v>1500</v>
      </c>
      <c r="K86" s="8">
        <f t="shared" si="7"/>
        <v>6000</v>
      </c>
      <c r="L86" s="5" t="s">
        <v>25</v>
      </c>
      <c r="M86" s="7" t="b">
        <f t="shared" ca="1" si="8"/>
        <v>0</v>
      </c>
      <c r="N86" s="16" t="b">
        <f t="shared" ca="1" si="9"/>
        <v>0</v>
      </c>
    </row>
    <row r="87" spans="1:14" x14ac:dyDescent="0.35">
      <c r="A87" s="5">
        <v>86</v>
      </c>
      <c r="B87" s="12" t="s">
        <v>113</v>
      </c>
      <c r="C87" s="6">
        <v>44282</v>
      </c>
      <c r="D87" s="6" t="str">
        <f t="shared" si="5"/>
        <v>27</v>
      </c>
      <c r="E87" s="6" t="str">
        <f t="shared" si="6"/>
        <v>Mar</v>
      </c>
      <c r="F87" s="7" t="s">
        <v>8</v>
      </c>
      <c r="G87" s="7" t="s">
        <v>12</v>
      </c>
      <c r="H87" s="7" t="s">
        <v>19</v>
      </c>
      <c r="I87" s="8">
        <v>3</v>
      </c>
      <c r="J87" s="8">
        <v>300</v>
      </c>
      <c r="K87" s="8">
        <f t="shared" si="7"/>
        <v>900</v>
      </c>
      <c r="L87" s="5" t="s">
        <v>26</v>
      </c>
      <c r="M87" s="7" t="b">
        <f t="shared" ca="1" si="8"/>
        <v>0</v>
      </c>
      <c r="N87" s="16" t="b">
        <f t="shared" ca="1" si="9"/>
        <v>0</v>
      </c>
    </row>
    <row r="88" spans="1:14" x14ac:dyDescent="0.35">
      <c r="A88" s="5">
        <v>87</v>
      </c>
      <c r="B88" s="12" t="s">
        <v>114</v>
      </c>
      <c r="C88" s="6">
        <v>44283</v>
      </c>
      <c r="D88" s="6" t="str">
        <f t="shared" si="5"/>
        <v>28</v>
      </c>
      <c r="E88" s="6" t="str">
        <f t="shared" si="6"/>
        <v>Mar</v>
      </c>
      <c r="F88" s="7" t="s">
        <v>8</v>
      </c>
      <c r="G88" s="7" t="s">
        <v>22</v>
      </c>
      <c r="H88" s="7" t="s">
        <v>21</v>
      </c>
      <c r="I88" s="8">
        <v>2</v>
      </c>
      <c r="J88" s="8">
        <v>190</v>
      </c>
      <c r="K88" s="8">
        <f t="shared" si="7"/>
        <v>380</v>
      </c>
      <c r="L88" s="5" t="s">
        <v>25</v>
      </c>
      <c r="M88" s="7" t="b">
        <f t="shared" ca="1" si="8"/>
        <v>0</v>
      </c>
      <c r="N88" s="16" t="b">
        <f t="shared" ca="1" si="9"/>
        <v>0</v>
      </c>
    </row>
    <row r="89" spans="1:14" x14ac:dyDescent="0.35">
      <c r="A89" s="5">
        <v>88</v>
      </c>
      <c r="B89" s="12" t="s">
        <v>115</v>
      </c>
      <c r="C89" s="6">
        <v>44284</v>
      </c>
      <c r="D89" s="6" t="str">
        <f t="shared" si="5"/>
        <v>29</v>
      </c>
      <c r="E89" s="6" t="str">
        <f t="shared" si="6"/>
        <v>Mar</v>
      </c>
      <c r="F89" s="7" t="s">
        <v>8</v>
      </c>
      <c r="G89" s="7" t="s">
        <v>23</v>
      </c>
      <c r="H89" s="7" t="s">
        <v>10</v>
      </c>
      <c r="I89" s="8">
        <v>2</v>
      </c>
      <c r="J89" s="8">
        <v>210</v>
      </c>
      <c r="K89" s="8">
        <f t="shared" si="7"/>
        <v>420</v>
      </c>
      <c r="L89" s="5" t="s">
        <v>26</v>
      </c>
      <c r="M89" s="7" t="b">
        <f t="shared" ca="1" si="8"/>
        <v>0</v>
      </c>
      <c r="N89" s="16" t="b">
        <f t="shared" ca="1" si="9"/>
        <v>0</v>
      </c>
    </row>
    <row r="90" spans="1:14" x14ac:dyDescent="0.35">
      <c r="A90" s="5">
        <v>89</v>
      </c>
      <c r="B90" s="12" t="s">
        <v>116</v>
      </c>
      <c r="C90" s="6">
        <v>44285</v>
      </c>
      <c r="D90" s="6" t="str">
        <f t="shared" si="5"/>
        <v>30</v>
      </c>
      <c r="E90" s="6" t="str">
        <f t="shared" si="6"/>
        <v>Mar</v>
      </c>
      <c r="F90" s="7" t="s">
        <v>11</v>
      </c>
      <c r="G90" s="7" t="s">
        <v>12</v>
      </c>
      <c r="H90" s="7" t="s">
        <v>19</v>
      </c>
      <c r="I90" s="8">
        <v>3</v>
      </c>
      <c r="J90" s="8">
        <v>300</v>
      </c>
      <c r="K90" s="8">
        <f t="shared" si="7"/>
        <v>900</v>
      </c>
      <c r="L90" s="5" t="s">
        <v>25</v>
      </c>
      <c r="M90" s="7" t="b">
        <f t="shared" ca="1" si="8"/>
        <v>0</v>
      </c>
      <c r="N90" s="16" t="b">
        <f t="shared" ca="1" si="9"/>
        <v>0</v>
      </c>
    </row>
    <row r="91" spans="1:14" x14ac:dyDescent="0.35">
      <c r="A91" s="5">
        <v>90</v>
      </c>
      <c r="B91" s="12" t="s">
        <v>117</v>
      </c>
      <c r="C91" s="6">
        <v>44286</v>
      </c>
      <c r="D91" s="6" t="str">
        <f t="shared" si="5"/>
        <v>31</v>
      </c>
      <c r="E91" s="6" t="str">
        <f t="shared" si="6"/>
        <v>Mar</v>
      </c>
      <c r="F91" s="7" t="s">
        <v>11</v>
      </c>
      <c r="G91" s="7" t="s">
        <v>9</v>
      </c>
      <c r="H91" s="7" t="s">
        <v>19</v>
      </c>
      <c r="I91" s="8">
        <v>3</v>
      </c>
      <c r="J91" s="8">
        <v>300</v>
      </c>
      <c r="K91" s="8">
        <f t="shared" si="7"/>
        <v>900</v>
      </c>
      <c r="L91" s="5" t="s">
        <v>26</v>
      </c>
      <c r="M91" s="7" t="b">
        <f t="shared" ca="1" si="8"/>
        <v>0</v>
      </c>
      <c r="N91" s="16" t="b">
        <f t="shared" ca="1" si="9"/>
        <v>0</v>
      </c>
    </row>
    <row r="92" spans="1:14" x14ac:dyDescent="0.35">
      <c r="A92" s="5">
        <v>91</v>
      </c>
      <c r="B92" s="12" t="s">
        <v>118</v>
      </c>
      <c r="C92" s="6">
        <v>44287</v>
      </c>
      <c r="D92" s="6" t="str">
        <f t="shared" si="5"/>
        <v>01</v>
      </c>
      <c r="E92" s="6" t="str">
        <f t="shared" si="6"/>
        <v>Apr</v>
      </c>
      <c r="F92" s="7" t="s">
        <v>11</v>
      </c>
      <c r="G92" s="7" t="s">
        <v>22</v>
      </c>
      <c r="H92" s="7" t="s">
        <v>19</v>
      </c>
      <c r="I92" s="8">
        <v>3</v>
      </c>
      <c r="J92" s="8">
        <v>300</v>
      </c>
      <c r="K92" s="8">
        <f t="shared" si="7"/>
        <v>900</v>
      </c>
      <c r="L92" s="5" t="s">
        <v>25</v>
      </c>
      <c r="M92" s="7" t="b">
        <f t="shared" ca="1" si="8"/>
        <v>0</v>
      </c>
      <c r="N92" s="16" t="b">
        <f t="shared" ca="1" si="9"/>
        <v>0</v>
      </c>
    </row>
    <row r="93" spans="1:14" x14ac:dyDescent="0.35">
      <c r="A93" s="5">
        <v>92</v>
      </c>
      <c r="B93" s="12" t="s">
        <v>119</v>
      </c>
      <c r="C93" s="6">
        <v>44288</v>
      </c>
      <c r="D93" s="6" t="str">
        <f t="shared" si="5"/>
        <v>02</v>
      </c>
      <c r="E93" s="6" t="str">
        <f t="shared" si="6"/>
        <v>Apr</v>
      </c>
      <c r="F93" s="7" t="s">
        <v>11</v>
      </c>
      <c r="G93" s="7" t="s">
        <v>23</v>
      </c>
      <c r="H93" s="7" t="s">
        <v>19</v>
      </c>
      <c r="I93" s="8">
        <v>3</v>
      </c>
      <c r="J93" s="8">
        <v>300</v>
      </c>
      <c r="K93" s="8">
        <f t="shared" si="7"/>
        <v>900</v>
      </c>
      <c r="L93" s="5" t="s">
        <v>26</v>
      </c>
      <c r="M93" s="7" t="b">
        <f t="shared" ca="1" si="8"/>
        <v>0</v>
      </c>
      <c r="N93" s="16" t="b">
        <f t="shared" ca="1" si="9"/>
        <v>0</v>
      </c>
    </row>
    <row r="94" spans="1:14" x14ac:dyDescent="0.35">
      <c r="A94" s="5">
        <v>93</v>
      </c>
      <c r="B94" s="12" t="s">
        <v>120</v>
      </c>
      <c r="C94" s="6">
        <v>44289</v>
      </c>
      <c r="D94" s="6" t="str">
        <f t="shared" si="5"/>
        <v>03</v>
      </c>
      <c r="E94" s="6" t="str">
        <f t="shared" si="6"/>
        <v>Apr</v>
      </c>
      <c r="F94" s="7" t="s">
        <v>11</v>
      </c>
      <c r="G94" s="7" t="s">
        <v>12</v>
      </c>
      <c r="H94" s="7" t="s">
        <v>19</v>
      </c>
      <c r="I94" s="8">
        <v>3</v>
      </c>
      <c r="J94" s="8">
        <v>300</v>
      </c>
      <c r="K94" s="8">
        <f t="shared" si="7"/>
        <v>900</v>
      </c>
      <c r="L94" s="5" t="s">
        <v>25</v>
      </c>
      <c r="M94" s="7" t="b">
        <f t="shared" ca="1" si="8"/>
        <v>0</v>
      </c>
      <c r="N94" s="16" t="b">
        <f t="shared" ca="1" si="9"/>
        <v>0</v>
      </c>
    </row>
    <row r="95" spans="1:14" x14ac:dyDescent="0.35">
      <c r="A95" s="5">
        <v>94</v>
      </c>
      <c r="B95" s="12" t="s">
        <v>121</v>
      </c>
      <c r="C95" s="6">
        <v>44290</v>
      </c>
      <c r="D95" s="6" t="str">
        <f t="shared" si="5"/>
        <v>04</v>
      </c>
      <c r="E95" s="6" t="str">
        <f t="shared" si="6"/>
        <v>Apr</v>
      </c>
      <c r="F95" s="7" t="s">
        <v>11</v>
      </c>
      <c r="G95" s="7" t="s">
        <v>9</v>
      </c>
      <c r="H95" s="7" t="s">
        <v>19</v>
      </c>
      <c r="I95" s="8">
        <v>3</v>
      </c>
      <c r="J95" s="8">
        <v>300</v>
      </c>
      <c r="K95" s="8">
        <f t="shared" si="7"/>
        <v>900</v>
      </c>
      <c r="L95" s="5" t="s">
        <v>26</v>
      </c>
      <c r="M95" s="7" t="b">
        <f t="shared" ca="1" si="8"/>
        <v>0</v>
      </c>
      <c r="N95" s="16" t="b">
        <f t="shared" ca="1" si="9"/>
        <v>0</v>
      </c>
    </row>
    <row r="96" spans="1:14" x14ac:dyDescent="0.35">
      <c r="A96" s="5">
        <v>95</v>
      </c>
      <c r="B96" s="12" t="s">
        <v>122</v>
      </c>
      <c r="C96" s="6">
        <v>44291</v>
      </c>
      <c r="D96" s="6" t="str">
        <f t="shared" si="5"/>
        <v>05</v>
      </c>
      <c r="E96" s="6" t="str">
        <f t="shared" si="6"/>
        <v>Apr</v>
      </c>
      <c r="F96" s="7" t="s">
        <v>11</v>
      </c>
      <c r="G96" s="7" t="s">
        <v>22</v>
      </c>
      <c r="H96" s="7" t="s">
        <v>19</v>
      </c>
      <c r="I96" s="8">
        <v>3</v>
      </c>
      <c r="J96" s="8">
        <v>300</v>
      </c>
      <c r="K96" s="8">
        <f t="shared" si="7"/>
        <v>900</v>
      </c>
      <c r="L96" s="5" t="s">
        <v>25</v>
      </c>
      <c r="M96" s="7" t="b">
        <f t="shared" ca="1" si="8"/>
        <v>0</v>
      </c>
      <c r="N96" s="16" t="b">
        <f t="shared" ca="1" si="9"/>
        <v>0</v>
      </c>
    </row>
    <row r="97" spans="1:14" x14ac:dyDescent="0.35">
      <c r="A97" s="5">
        <v>96</v>
      </c>
      <c r="B97" s="12" t="s">
        <v>123</v>
      </c>
      <c r="C97" s="6">
        <v>44292</v>
      </c>
      <c r="D97" s="6" t="str">
        <f t="shared" si="5"/>
        <v>06</v>
      </c>
      <c r="E97" s="6" t="str">
        <f t="shared" si="6"/>
        <v>Apr</v>
      </c>
      <c r="F97" s="7" t="s">
        <v>11</v>
      </c>
      <c r="G97" s="7" t="s">
        <v>23</v>
      </c>
      <c r="H97" s="7" t="s">
        <v>19</v>
      </c>
      <c r="I97" s="8">
        <v>3</v>
      </c>
      <c r="J97" s="8">
        <v>300</v>
      </c>
      <c r="K97" s="8">
        <f t="shared" si="7"/>
        <v>900</v>
      </c>
      <c r="L97" s="5" t="s">
        <v>26</v>
      </c>
      <c r="M97" s="7" t="b">
        <f t="shared" ca="1" si="8"/>
        <v>0</v>
      </c>
      <c r="N97" s="16" t="b">
        <f t="shared" ca="1" si="9"/>
        <v>0</v>
      </c>
    </row>
    <row r="98" spans="1:14" x14ac:dyDescent="0.35">
      <c r="A98" s="5">
        <v>97</v>
      </c>
      <c r="B98" s="12" t="s">
        <v>124</v>
      </c>
      <c r="C98" s="6">
        <v>44293</v>
      </c>
      <c r="D98" s="6" t="str">
        <f t="shared" si="5"/>
        <v>07</v>
      </c>
      <c r="E98" s="6" t="str">
        <f t="shared" si="6"/>
        <v>Apr</v>
      </c>
      <c r="F98" s="7" t="s">
        <v>14</v>
      </c>
      <c r="G98" s="7" t="s">
        <v>23</v>
      </c>
      <c r="H98" s="7" t="s">
        <v>19</v>
      </c>
      <c r="I98" s="8">
        <v>3</v>
      </c>
      <c r="J98" s="8">
        <v>300</v>
      </c>
      <c r="K98" s="8">
        <f t="shared" si="7"/>
        <v>900</v>
      </c>
      <c r="L98" s="5" t="s">
        <v>25</v>
      </c>
      <c r="M98" s="7" t="b">
        <f t="shared" ca="1" si="8"/>
        <v>0</v>
      </c>
      <c r="N98" s="16" t="b">
        <f t="shared" ca="1" si="9"/>
        <v>0</v>
      </c>
    </row>
    <row r="99" spans="1:14" x14ac:dyDescent="0.35">
      <c r="A99" s="5">
        <v>98</v>
      </c>
      <c r="B99" s="12" t="s">
        <v>125</v>
      </c>
      <c r="C99" s="6">
        <v>44294</v>
      </c>
      <c r="D99" s="6" t="str">
        <f t="shared" si="5"/>
        <v>08</v>
      </c>
      <c r="E99" s="6" t="str">
        <f t="shared" si="6"/>
        <v>Apr</v>
      </c>
      <c r="F99" s="7" t="s">
        <v>16</v>
      </c>
      <c r="G99" s="7" t="s">
        <v>23</v>
      </c>
      <c r="H99" s="7" t="s">
        <v>19</v>
      </c>
      <c r="I99" s="8">
        <v>3</v>
      </c>
      <c r="J99" s="8">
        <v>300</v>
      </c>
      <c r="K99" s="8">
        <f t="shared" si="7"/>
        <v>900</v>
      </c>
      <c r="L99" s="5" t="s">
        <v>26</v>
      </c>
      <c r="M99" s="7" t="b">
        <f t="shared" ca="1" si="8"/>
        <v>0</v>
      </c>
      <c r="N99" s="16" t="b">
        <f t="shared" ca="1" si="9"/>
        <v>0</v>
      </c>
    </row>
    <row r="100" spans="1:14" x14ac:dyDescent="0.35">
      <c r="A100" s="5">
        <v>99</v>
      </c>
      <c r="B100" s="12" t="s">
        <v>126</v>
      </c>
      <c r="C100" s="6">
        <v>44295</v>
      </c>
      <c r="D100" s="6" t="str">
        <f t="shared" si="5"/>
        <v>09</v>
      </c>
      <c r="E100" s="6" t="str">
        <f t="shared" si="6"/>
        <v>Apr</v>
      </c>
      <c r="F100" s="7" t="s">
        <v>18</v>
      </c>
      <c r="G100" s="7" t="s">
        <v>23</v>
      </c>
      <c r="H100" s="7" t="s">
        <v>10</v>
      </c>
      <c r="I100" s="8">
        <v>3</v>
      </c>
      <c r="J100" s="8">
        <v>190</v>
      </c>
      <c r="K100" s="8">
        <f t="shared" si="7"/>
        <v>570</v>
      </c>
      <c r="L100" s="5" t="s">
        <v>25</v>
      </c>
      <c r="M100" s="7" t="b">
        <f t="shared" ca="1" si="8"/>
        <v>0</v>
      </c>
      <c r="N100" s="16" t="b">
        <f t="shared" ca="1" si="9"/>
        <v>0</v>
      </c>
    </row>
    <row r="101" spans="1:14" x14ac:dyDescent="0.35">
      <c r="A101" s="5">
        <v>100</v>
      </c>
      <c r="B101" s="12" t="s">
        <v>127</v>
      </c>
      <c r="C101" s="6">
        <v>44296</v>
      </c>
      <c r="D101" s="6" t="str">
        <f t="shared" si="5"/>
        <v>10</v>
      </c>
      <c r="E101" s="6" t="str">
        <f t="shared" si="6"/>
        <v>Apr</v>
      </c>
      <c r="F101" s="7" t="s">
        <v>20</v>
      </c>
      <c r="G101" s="7" t="s">
        <v>23</v>
      </c>
      <c r="H101" s="7" t="s">
        <v>13</v>
      </c>
      <c r="I101" s="8">
        <v>2</v>
      </c>
      <c r="J101" s="8">
        <v>2100</v>
      </c>
      <c r="K101" s="8">
        <f t="shared" si="7"/>
        <v>4200</v>
      </c>
      <c r="L101" s="5" t="s">
        <v>26</v>
      </c>
      <c r="M101" s="7" t="b">
        <f t="shared" ca="1" si="8"/>
        <v>0</v>
      </c>
      <c r="N101" s="16" t="b">
        <f t="shared" ca="1" si="9"/>
        <v>0</v>
      </c>
    </row>
    <row r="102" spans="1:14" x14ac:dyDescent="0.35">
      <c r="A102" s="5">
        <v>101</v>
      </c>
      <c r="B102" s="12" t="s">
        <v>128</v>
      </c>
      <c r="C102" s="6">
        <v>44297</v>
      </c>
      <c r="D102" s="6" t="str">
        <f t="shared" si="5"/>
        <v>11</v>
      </c>
      <c r="E102" s="6" t="str">
        <f t="shared" si="6"/>
        <v>Apr</v>
      </c>
      <c r="F102" s="7" t="s">
        <v>20</v>
      </c>
      <c r="G102" s="7" t="s">
        <v>9</v>
      </c>
      <c r="H102" s="7" t="s">
        <v>10</v>
      </c>
      <c r="I102" s="8">
        <v>7</v>
      </c>
      <c r="J102" s="8">
        <v>210</v>
      </c>
      <c r="K102" s="8">
        <f t="shared" si="7"/>
        <v>1470</v>
      </c>
      <c r="L102" s="5" t="s">
        <v>25</v>
      </c>
      <c r="M102" s="7" t="b">
        <f t="shared" ca="1" si="8"/>
        <v>0</v>
      </c>
      <c r="N102" s="16" t="b">
        <f t="shared" ca="1" si="9"/>
        <v>0</v>
      </c>
    </row>
    <row r="103" spans="1:14" x14ac:dyDescent="0.35">
      <c r="A103" s="5">
        <v>102</v>
      </c>
      <c r="B103" s="12" t="s">
        <v>129</v>
      </c>
      <c r="C103" s="6">
        <v>44298</v>
      </c>
      <c r="D103" s="6" t="str">
        <f t="shared" si="5"/>
        <v>12</v>
      </c>
      <c r="E103" s="6" t="str">
        <f t="shared" si="6"/>
        <v>Apr</v>
      </c>
      <c r="F103" s="7" t="s">
        <v>20</v>
      </c>
      <c r="G103" s="7" t="s">
        <v>12</v>
      </c>
      <c r="H103" s="7" t="s">
        <v>13</v>
      </c>
      <c r="I103" s="8">
        <v>6</v>
      </c>
      <c r="J103" s="8">
        <v>2100</v>
      </c>
      <c r="K103" s="8">
        <f t="shared" si="7"/>
        <v>12600</v>
      </c>
      <c r="L103" s="5" t="s">
        <v>26</v>
      </c>
      <c r="M103" s="7" t="b">
        <f t="shared" ca="1" si="8"/>
        <v>0</v>
      </c>
      <c r="N103" s="16" t="b">
        <f t="shared" ca="1" si="9"/>
        <v>0</v>
      </c>
    </row>
    <row r="104" spans="1:14" x14ac:dyDescent="0.35">
      <c r="A104" s="5">
        <v>103</v>
      </c>
      <c r="B104" s="12" t="s">
        <v>130</v>
      </c>
      <c r="C104" s="6">
        <v>44299</v>
      </c>
      <c r="D104" s="6" t="str">
        <f t="shared" si="5"/>
        <v>13</v>
      </c>
      <c r="E104" s="6" t="str">
        <f t="shared" si="6"/>
        <v>Apr</v>
      </c>
      <c r="F104" s="7" t="s">
        <v>20</v>
      </c>
      <c r="G104" s="7" t="s">
        <v>22</v>
      </c>
      <c r="H104" s="7" t="s">
        <v>15</v>
      </c>
      <c r="I104" s="8">
        <v>5</v>
      </c>
      <c r="J104" s="8">
        <v>1200</v>
      </c>
      <c r="K104" s="8">
        <f t="shared" si="7"/>
        <v>6000</v>
      </c>
      <c r="L104" s="5" t="s">
        <v>25</v>
      </c>
      <c r="M104" s="7" t="b">
        <f t="shared" ca="1" si="8"/>
        <v>0</v>
      </c>
      <c r="N104" s="16" t="b">
        <f t="shared" ca="1" si="9"/>
        <v>0</v>
      </c>
    </row>
    <row r="105" spans="1:14" x14ac:dyDescent="0.35">
      <c r="A105" s="5">
        <v>104</v>
      </c>
      <c r="B105" s="12" t="s">
        <v>131</v>
      </c>
      <c r="C105" s="6">
        <v>44300</v>
      </c>
      <c r="D105" s="6" t="str">
        <f t="shared" si="5"/>
        <v>14</v>
      </c>
      <c r="E105" s="6" t="str">
        <f t="shared" si="6"/>
        <v>Apr</v>
      </c>
      <c r="F105" s="7" t="s">
        <v>20</v>
      </c>
      <c r="G105" s="7" t="s">
        <v>23</v>
      </c>
      <c r="H105" s="7" t="s">
        <v>13</v>
      </c>
      <c r="I105" s="8">
        <v>6</v>
      </c>
      <c r="J105" s="8">
        <v>2100</v>
      </c>
      <c r="K105" s="8">
        <f t="shared" si="7"/>
        <v>12600</v>
      </c>
      <c r="L105" s="5" t="s">
        <v>26</v>
      </c>
      <c r="M105" s="7" t="b">
        <f t="shared" ca="1" si="8"/>
        <v>0</v>
      </c>
      <c r="N105" s="16" t="b">
        <f t="shared" ca="1" si="9"/>
        <v>0</v>
      </c>
    </row>
    <row r="106" spans="1:14" x14ac:dyDescent="0.35">
      <c r="A106" s="5">
        <v>105</v>
      </c>
      <c r="B106" s="12" t="s">
        <v>132</v>
      </c>
      <c r="C106" s="6">
        <v>44301</v>
      </c>
      <c r="D106" s="6" t="str">
        <f t="shared" si="5"/>
        <v>15</v>
      </c>
      <c r="E106" s="6" t="str">
        <f t="shared" si="6"/>
        <v>Apr</v>
      </c>
      <c r="F106" s="7" t="s">
        <v>20</v>
      </c>
      <c r="G106" s="7" t="s">
        <v>9</v>
      </c>
      <c r="H106" s="7" t="s">
        <v>15</v>
      </c>
      <c r="I106" s="8">
        <v>5</v>
      </c>
      <c r="J106" s="8">
        <v>1200</v>
      </c>
      <c r="K106" s="8">
        <f t="shared" si="7"/>
        <v>6000</v>
      </c>
      <c r="L106" s="5" t="s">
        <v>25</v>
      </c>
      <c r="M106" s="7" t="b">
        <f t="shared" ca="1" si="8"/>
        <v>0</v>
      </c>
      <c r="N106" s="16" t="b">
        <f t="shared" ca="1" si="9"/>
        <v>0</v>
      </c>
    </row>
    <row r="107" spans="1:14" x14ac:dyDescent="0.35">
      <c r="A107" s="5">
        <v>106</v>
      </c>
      <c r="B107" s="12" t="s">
        <v>133</v>
      </c>
      <c r="C107" s="6">
        <v>44302</v>
      </c>
      <c r="D107" s="6" t="str">
        <f t="shared" si="5"/>
        <v>16</v>
      </c>
      <c r="E107" s="6" t="str">
        <f t="shared" si="6"/>
        <v>Apr</v>
      </c>
      <c r="F107" s="7" t="s">
        <v>20</v>
      </c>
      <c r="G107" s="7" t="s">
        <v>12</v>
      </c>
      <c r="H107" s="7" t="s">
        <v>21</v>
      </c>
      <c r="I107" s="8">
        <v>2</v>
      </c>
      <c r="J107" s="8">
        <v>190</v>
      </c>
      <c r="K107" s="8">
        <f t="shared" si="7"/>
        <v>380</v>
      </c>
      <c r="L107" s="5" t="s">
        <v>26</v>
      </c>
      <c r="M107" s="7" t="b">
        <f t="shared" ca="1" si="8"/>
        <v>0</v>
      </c>
      <c r="N107" s="16" t="b">
        <f t="shared" ca="1" si="9"/>
        <v>0</v>
      </c>
    </row>
    <row r="108" spans="1:14" x14ac:dyDescent="0.35">
      <c r="A108" s="5">
        <v>107</v>
      </c>
      <c r="B108" s="12" t="s">
        <v>134</v>
      </c>
      <c r="C108" s="6">
        <v>44303</v>
      </c>
      <c r="D108" s="6" t="str">
        <f t="shared" si="5"/>
        <v>17</v>
      </c>
      <c r="E108" s="6" t="str">
        <f t="shared" si="6"/>
        <v>Apr</v>
      </c>
      <c r="F108" s="7" t="s">
        <v>20</v>
      </c>
      <c r="G108" s="7" t="s">
        <v>22</v>
      </c>
      <c r="H108" s="7" t="s">
        <v>13</v>
      </c>
      <c r="I108" s="8">
        <v>6</v>
      </c>
      <c r="J108" s="8">
        <v>2100</v>
      </c>
      <c r="K108" s="8">
        <f t="shared" si="7"/>
        <v>12600</v>
      </c>
      <c r="L108" s="5" t="s">
        <v>25</v>
      </c>
      <c r="M108" s="7" t="b">
        <f t="shared" ca="1" si="8"/>
        <v>0</v>
      </c>
      <c r="N108" s="16" t="b">
        <f t="shared" ca="1" si="9"/>
        <v>0</v>
      </c>
    </row>
    <row r="109" spans="1:14" x14ac:dyDescent="0.35">
      <c r="A109" s="5">
        <v>108</v>
      </c>
      <c r="B109" s="12" t="s">
        <v>135</v>
      </c>
      <c r="C109" s="6">
        <v>44304</v>
      </c>
      <c r="D109" s="6" t="str">
        <f t="shared" si="5"/>
        <v>18</v>
      </c>
      <c r="E109" s="6" t="str">
        <f t="shared" si="6"/>
        <v>Apr</v>
      </c>
      <c r="F109" s="7" t="s">
        <v>20</v>
      </c>
      <c r="G109" s="7" t="s">
        <v>23</v>
      </c>
      <c r="H109" s="7" t="s">
        <v>15</v>
      </c>
      <c r="I109" s="8">
        <v>5</v>
      </c>
      <c r="J109" s="8">
        <v>1200</v>
      </c>
      <c r="K109" s="8">
        <f t="shared" si="7"/>
        <v>6000</v>
      </c>
      <c r="L109" s="5" t="s">
        <v>26</v>
      </c>
      <c r="M109" s="7" t="b">
        <f t="shared" ca="1" si="8"/>
        <v>0</v>
      </c>
      <c r="N109" s="16" t="b">
        <f t="shared" ca="1" si="9"/>
        <v>0</v>
      </c>
    </row>
    <row r="110" spans="1:14" x14ac:dyDescent="0.35">
      <c r="A110" s="5">
        <v>109</v>
      </c>
      <c r="B110" s="12" t="s">
        <v>136</v>
      </c>
      <c r="C110" s="6">
        <v>44305</v>
      </c>
      <c r="D110" s="6" t="str">
        <f t="shared" si="5"/>
        <v>19</v>
      </c>
      <c r="E110" s="6" t="str">
        <f t="shared" si="6"/>
        <v>Apr</v>
      </c>
      <c r="F110" s="7" t="s">
        <v>8</v>
      </c>
      <c r="G110" s="7" t="s">
        <v>9</v>
      </c>
      <c r="H110" s="7" t="s">
        <v>13</v>
      </c>
      <c r="I110" s="8">
        <v>6</v>
      </c>
      <c r="J110" s="8">
        <v>2100</v>
      </c>
      <c r="K110" s="8">
        <f t="shared" si="7"/>
        <v>12600</v>
      </c>
      <c r="L110" s="5" t="s">
        <v>25</v>
      </c>
      <c r="M110" s="7" t="b">
        <f t="shared" ca="1" si="8"/>
        <v>0</v>
      </c>
      <c r="N110" s="16" t="b">
        <f t="shared" ca="1" si="9"/>
        <v>0</v>
      </c>
    </row>
    <row r="111" spans="1:14" x14ac:dyDescent="0.35">
      <c r="A111" s="5">
        <v>110</v>
      </c>
      <c r="B111" s="12" t="s">
        <v>137</v>
      </c>
      <c r="C111" s="6">
        <v>44306</v>
      </c>
      <c r="D111" s="6" t="str">
        <f t="shared" si="5"/>
        <v>20</v>
      </c>
      <c r="E111" s="6" t="str">
        <f t="shared" si="6"/>
        <v>Apr</v>
      </c>
      <c r="F111" s="7" t="s">
        <v>11</v>
      </c>
      <c r="G111" s="7" t="s">
        <v>12</v>
      </c>
      <c r="H111" s="7" t="s">
        <v>15</v>
      </c>
      <c r="I111" s="8">
        <v>5</v>
      </c>
      <c r="J111" s="8">
        <v>1200</v>
      </c>
      <c r="K111" s="8">
        <f t="shared" si="7"/>
        <v>6000</v>
      </c>
      <c r="L111" s="5" t="s">
        <v>26</v>
      </c>
      <c r="M111" s="7" t="b">
        <f t="shared" ca="1" si="8"/>
        <v>0</v>
      </c>
      <c r="N111" s="16" t="b">
        <f t="shared" ca="1" si="9"/>
        <v>0</v>
      </c>
    </row>
    <row r="112" spans="1:14" x14ac:dyDescent="0.35">
      <c r="A112" s="5">
        <v>111</v>
      </c>
      <c r="B112" s="12" t="s">
        <v>138</v>
      </c>
      <c r="C112" s="6">
        <v>44307</v>
      </c>
      <c r="D112" s="6" t="str">
        <f t="shared" si="5"/>
        <v>21</v>
      </c>
      <c r="E112" s="6" t="str">
        <f t="shared" si="6"/>
        <v>Apr</v>
      </c>
      <c r="F112" s="7" t="s">
        <v>14</v>
      </c>
      <c r="G112" s="7" t="s">
        <v>9</v>
      </c>
      <c r="H112" s="7" t="s">
        <v>13</v>
      </c>
      <c r="I112" s="8">
        <v>6</v>
      </c>
      <c r="J112" s="8">
        <v>2100</v>
      </c>
      <c r="K112" s="8">
        <f t="shared" si="7"/>
        <v>12600</v>
      </c>
      <c r="L112" s="5" t="s">
        <v>25</v>
      </c>
      <c r="M112" s="7" t="b">
        <f t="shared" ca="1" si="8"/>
        <v>0</v>
      </c>
      <c r="N112" s="16" t="b">
        <f t="shared" ca="1" si="9"/>
        <v>0</v>
      </c>
    </row>
    <row r="113" spans="1:14" x14ac:dyDescent="0.35">
      <c r="A113" s="5">
        <v>112</v>
      </c>
      <c r="B113" s="12" t="s">
        <v>139</v>
      </c>
      <c r="C113" s="6">
        <v>44308</v>
      </c>
      <c r="D113" s="6" t="str">
        <f t="shared" si="5"/>
        <v>22</v>
      </c>
      <c r="E113" s="6" t="str">
        <f t="shared" si="6"/>
        <v>Apr</v>
      </c>
      <c r="F113" s="7" t="s">
        <v>16</v>
      </c>
      <c r="G113" s="7" t="s">
        <v>12</v>
      </c>
      <c r="H113" s="7" t="s">
        <v>15</v>
      </c>
      <c r="I113" s="8">
        <v>5</v>
      </c>
      <c r="J113" s="8">
        <v>1200</v>
      </c>
      <c r="K113" s="8">
        <f t="shared" si="7"/>
        <v>6000</v>
      </c>
      <c r="L113" s="5" t="s">
        <v>26</v>
      </c>
      <c r="M113" s="7" t="b">
        <f t="shared" ca="1" si="8"/>
        <v>0</v>
      </c>
      <c r="N113" s="16" t="b">
        <f t="shared" ca="1" si="9"/>
        <v>0</v>
      </c>
    </row>
    <row r="114" spans="1:14" x14ac:dyDescent="0.35">
      <c r="A114" s="5">
        <v>113</v>
      </c>
      <c r="B114" s="12" t="s">
        <v>140</v>
      </c>
      <c r="C114" s="6">
        <v>44309</v>
      </c>
      <c r="D114" s="6" t="str">
        <f t="shared" si="5"/>
        <v>23</v>
      </c>
      <c r="E114" s="6" t="str">
        <f t="shared" si="6"/>
        <v>Apr</v>
      </c>
      <c r="F114" s="7" t="s">
        <v>18</v>
      </c>
      <c r="G114" s="7" t="s">
        <v>9</v>
      </c>
      <c r="H114" s="7" t="s">
        <v>10</v>
      </c>
      <c r="I114" s="8">
        <v>2</v>
      </c>
      <c r="J114" s="8">
        <v>210</v>
      </c>
      <c r="K114" s="8">
        <f t="shared" si="7"/>
        <v>420</v>
      </c>
      <c r="L114" s="5" t="s">
        <v>25</v>
      </c>
      <c r="M114" s="7" t="b">
        <f t="shared" ca="1" si="8"/>
        <v>0</v>
      </c>
      <c r="N114" s="16" t="b">
        <f t="shared" ca="1" si="9"/>
        <v>0</v>
      </c>
    </row>
    <row r="115" spans="1:14" x14ac:dyDescent="0.35">
      <c r="A115" s="5">
        <v>114</v>
      </c>
      <c r="B115" s="12" t="s">
        <v>141</v>
      </c>
      <c r="C115" s="6">
        <v>44310</v>
      </c>
      <c r="D115" s="6" t="str">
        <f t="shared" si="5"/>
        <v>24</v>
      </c>
      <c r="E115" s="6" t="str">
        <f t="shared" si="6"/>
        <v>Apr</v>
      </c>
      <c r="F115" s="7" t="s">
        <v>20</v>
      </c>
      <c r="G115" s="7" t="s">
        <v>9</v>
      </c>
      <c r="H115" s="7" t="s">
        <v>13</v>
      </c>
      <c r="I115" s="8">
        <v>7</v>
      </c>
      <c r="J115" s="8">
        <v>2100</v>
      </c>
      <c r="K115" s="8">
        <f t="shared" si="7"/>
        <v>14700</v>
      </c>
      <c r="L115" s="5" t="s">
        <v>26</v>
      </c>
      <c r="M115" s="7" t="b">
        <f t="shared" ca="1" si="8"/>
        <v>0</v>
      </c>
      <c r="N115" s="16" t="b">
        <f t="shared" ca="1" si="9"/>
        <v>0</v>
      </c>
    </row>
    <row r="116" spans="1:14" x14ac:dyDescent="0.35">
      <c r="A116" s="5">
        <v>115</v>
      </c>
      <c r="B116" s="12" t="s">
        <v>142</v>
      </c>
      <c r="C116" s="6">
        <v>44311</v>
      </c>
      <c r="D116" s="6" t="str">
        <f t="shared" si="5"/>
        <v>25</v>
      </c>
      <c r="E116" s="6" t="str">
        <f t="shared" si="6"/>
        <v>Apr</v>
      </c>
      <c r="F116" s="7" t="s">
        <v>8</v>
      </c>
      <c r="G116" s="7" t="s">
        <v>9</v>
      </c>
      <c r="H116" s="7" t="s">
        <v>15</v>
      </c>
      <c r="I116" s="8">
        <v>6</v>
      </c>
      <c r="J116" s="8">
        <v>1200</v>
      </c>
      <c r="K116" s="8">
        <f t="shared" si="7"/>
        <v>7200</v>
      </c>
      <c r="L116" s="5" t="s">
        <v>25</v>
      </c>
      <c r="M116" s="7" t="b">
        <f t="shared" ca="1" si="8"/>
        <v>0</v>
      </c>
      <c r="N116" s="16" t="b">
        <f t="shared" ca="1" si="9"/>
        <v>0</v>
      </c>
    </row>
    <row r="117" spans="1:14" x14ac:dyDescent="0.35">
      <c r="A117" s="5">
        <v>116</v>
      </c>
      <c r="B117" s="12" t="s">
        <v>143</v>
      </c>
      <c r="C117" s="6">
        <v>44312</v>
      </c>
      <c r="D117" s="6" t="str">
        <f t="shared" si="5"/>
        <v>26</v>
      </c>
      <c r="E117" s="6" t="str">
        <f t="shared" si="6"/>
        <v>Apr</v>
      </c>
      <c r="F117" s="7" t="s">
        <v>11</v>
      </c>
      <c r="G117" s="7" t="s">
        <v>12</v>
      </c>
      <c r="H117" s="7" t="s">
        <v>17</v>
      </c>
      <c r="I117" s="8">
        <v>5</v>
      </c>
      <c r="J117" s="8">
        <v>1500</v>
      </c>
      <c r="K117" s="8">
        <f t="shared" si="7"/>
        <v>7500</v>
      </c>
      <c r="L117" s="5" t="s">
        <v>26</v>
      </c>
      <c r="M117" s="7" t="b">
        <f t="shared" ca="1" si="8"/>
        <v>0</v>
      </c>
      <c r="N117" s="16" t="b">
        <f t="shared" ca="1" si="9"/>
        <v>0</v>
      </c>
    </row>
    <row r="118" spans="1:14" x14ac:dyDescent="0.35">
      <c r="A118" s="5">
        <v>117</v>
      </c>
      <c r="B118" s="12" t="s">
        <v>144</v>
      </c>
      <c r="C118" s="6">
        <v>44313</v>
      </c>
      <c r="D118" s="6" t="str">
        <f t="shared" si="5"/>
        <v>27</v>
      </c>
      <c r="E118" s="6" t="str">
        <f t="shared" si="6"/>
        <v>Apr</v>
      </c>
      <c r="F118" s="7" t="s">
        <v>14</v>
      </c>
      <c r="G118" s="7" t="s">
        <v>12</v>
      </c>
      <c r="H118" s="7" t="s">
        <v>19</v>
      </c>
      <c r="I118" s="8">
        <v>4</v>
      </c>
      <c r="J118" s="8">
        <v>300</v>
      </c>
      <c r="K118" s="8">
        <f t="shared" si="7"/>
        <v>1200</v>
      </c>
      <c r="L118" s="5" t="s">
        <v>25</v>
      </c>
      <c r="M118" s="7" t="b">
        <f t="shared" ca="1" si="8"/>
        <v>0</v>
      </c>
      <c r="N118" s="16" t="b">
        <f t="shared" ca="1" si="9"/>
        <v>0</v>
      </c>
    </row>
    <row r="119" spans="1:14" x14ac:dyDescent="0.35">
      <c r="A119" s="5">
        <v>118</v>
      </c>
      <c r="B119" s="12" t="s">
        <v>145</v>
      </c>
      <c r="C119" s="6">
        <v>44314</v>
      </c>
      <c r="D119" s="6" t="str">
        <f t="shared" si="5"/>
        <v>28</v>
      </c>
      <c r="E119" s="6" t="str">
        <f t="shared" si="6"/>
        <v>Apr</v>
      </c>
      <c r="F119" s="7" t="s">
        <v>16</v>
      </c>
      <c r="G119" s="7" t="s">
        <v>9</v>
      </c>
      <c r="H119" s="7" t="s">
        <v>21</v>
      </c>
      <c r="I119" s="8">
        <v>3</v>
      </c>
      <c r="J119" s="8">
        <v>190</v>
      </c>
      <c r="K119" s="8">
        <f t="shared" si="7"/>
        <v>570</v>
      </c>
      <c r="L119" s="5" t="s">
        <v>26</v>
      </c>
      <c r="M119" s="7" t="b">
        <f t="shared" ca="1" si="8"/>
        <v>0</v>
      </c>
      <c r="N119" s="16" t="b">
        <f t="shared" ca="1" si="9"/>
        <v>0</v>
      </c>
    </row>
    <row r="120" spans="1:14" x14ac:dyDescent="0.35">
      <c r="A120" s="5">
        <v>119</v>
      </c>
      <c r="B120" s="12" t="s">
        <v>146</v>
      </c>
      <c r="C120" s="6">
        <v>44315</v>
      </c>
      <c r="D120" s="6" t="str">
        <f t="shared" si="5"/>
        <v>29</v>
      </c>
      <c r="E120" s="6" t="str">
        <f t="shared" si="6"/>
        <v>Apr</v>
      </c>
      <c r="F120" s="7" t="s">
        <v>18</v>
      </c>
      <c r="G120" s="7" t="s">
        <v>9</v>
      </c>
      <c r="H120" s="7" t="s">
        <v>10</v>
      </c>
      <c r="I120" s="8">
        <v>2</v>
      </c>
      <c r="J120" s="8">
        <v>210</v>
      </c>
      <c r="K120" s="8">
        <f t="shared" si="7"/>
        <v>420</v>
      </c>
      <c r="L120" s="5" t="s">
        <v>25</v>
      </c>
      <c r="M120" s="7" t="b">
        <f t="shared" ca="1" si="8"/>
        <v>0</v>
      </c>
      <c r="N120" s="16" t="b">
        <f t="shared" ca="1" si="9"/>
        <v>0</v>
      </c>
    </row>
    <row r="121" spans="1:14" x14ac:dyDescent="0.35">
      <c r="A121" s="5">
        <v>120</v>
      </c>
      <c r="B121" s="12" t="s">
        <v>147</v>
      </c>
      <c r="C121" s="6">
        <v>44316</v>
      </c>
      <c r="D121" s="6" t="str">
        <f t="shared" si="5"/>
        <v>30</v>
      </c>
      <c r="E121" s="6" t="str">
        <f t="shared" si="6"/>
        <v>Apr</v>
      </c>
      <c r="F121" s="7" t="s">
        <v>20</v>
      </c>
      <c r="G121" s="7" t="s">
        <v>12</v>
      </c>
      <c r="H121" s="7" t="s">
        <v>15</v>
      </c>
      <c r="I121" s="8">
        <v>7</v>
      </c>
      <c r="J121" s="8">
        <v>2100</v>
      </c>
      <c r="K121" s="8">
        <f t="shared" si="7"/>
        <v>14700</v>
      </c>
      <c r="L121" s="5" t="s">
        <v>26</v>
      </c>
      <c r="M121" s="7" t="b">
        <f t="shared" ca="1" si="8"/>
        <v>0</v>
      </c>
      <c r="N121" s="16" t="b">
        <f t="shared" ca="1" si="9"/>
        <v>0</v>
      </c>
    </row>
    <row r="122" spans="1:14" x14ac:dyDescent="0.35">
      <c r="A122" s="5">
        <v>121</v>
      </c>
      <c r="B122" s="12" t="s">
        <v>148</v>
      </c>
      <c r="C122" s="6">
        <v>44317</v>
      </c>
      <c r="D122" s="6" t="str">
        <f t="shared" si="5"/>
        <v>01</v>
      </c>
      <c r="E122" s="6" t="str">
        <f t="shared" si="6"/>
        <v>May</v>
      </c>
      <c r="F122" s="7" t="s">
        <v>20</v>
      </c>
      <c r="G122" s="7" t="s">
        <v>9</v>
      </c>
      <c r="H122" s="7" t="s">
        <v>17</v>
      </c>
      <c r="I122" s="8">
        <v>6</v>
      </c>
      <c r="J122" s="8">
        <v>1200</v>
      </c>
      <c r="K122" s="8">
        <f t="shared" si="7"/>
        <v>7200</v>
      </c>
      <c r="L122" s="5" t="s">
        <v>25</v>
      </c>
      <c r="M122" s="7" t="b">
        <f t="shared" ca="1" si="8"/>
        <v>0</v>
      </c>
      <c r="N122" s="16" t="b">
        <f t="shared" ca="1" si="9"/>
        <v>0</v>
      </c>
    </row>
    <row r="123" spans="1:14" x14ac:dyDescent="0.35">
      <c r="A123" s="5">
        <v>122</v>
      </c>
      <c r="B123" s="12" t="s">
        <v>149</v>
      </c>
      <c r="C123" s="6">
        <v>44318</v>
      </c>
      <c r="D123" s="6" t="str">
        <f t="shared" si="5"/>
        <v>02</v>
      </c>
      <c r="E123" s="6" t="str">
        <f t="shared" si="6"/>
        <v>May</v>
      </c>
      <c r="F123" s="7" t="s">
        <v>8</v>
      </c>
      <c r="G123" s="7" t="s">
        <v>9</v>
      </c>
      <c r="H123" s="7" t="s">
        <v>19</v>
      </c>
      <c r="I123" s="8">
        <v>5</v>
      </c>
      <c r="J123" s="8">
        <v>300</v>
      </c>
      <c r="K123" s="8">
        <f t="shared" si="7"/>
        <v>1500</v>
      </c>
      <c r="L123" s="5" t="s">
        <v>26</v>
      </c>
      <c r="M123" s="7" t="b">
        <f t="shared" ca="1" si="8"/>
        <v>0</v>
      </c>
      <c r="N123" s="16" t="b">
        <f t="shared" ca="1" si="9"/>
        <v>0</v>
      </c>
    </row>
    <row r="124" spans="1:14" x14ac:dyDescent="0.35">
      <c r="A124" s="5">
        <v>123</v>
      </c>
      <c r="B124" s="12" t="s">
        <v>150</v>
      </c>
      <c r="C124" s="6">
        <v>44319</v>
      </c>
      <c r="D124" s="6" t="str">
        <f t="shared" si="5"/>
        <v>03</v>
      </c>
      <c r="E124" s="6" t="str">
        <f t="shared" si="6"/>
        <v>May</v>
      </c>
      <c r="F124" s="7" t="s">
        <v>11</v>
      </c>
      <c r="G124" s="7" t="s">
        <v>9</v>
      </c>
      <c r="H124" s="7" t="s">
        <v>21</v>
      </c>
      <c r="I124" s="8">
        <v>4</v>
      </c>
      <c r="J124" s="8">
        <v>200</v>
      </c>
      <c r="K124" s="8">
        <f t="shared" si="7"/>
        <v>800</v>
      </c>
      <c r="L124" s="5" t="s">
        <v>25</v>
      </c>
      <c r="M124" s="7" t="b">
        <f t="shared" ca="1" si="8"/>
        <v>0</v>
      </c>
      <c r="N124" s="16" t="b">
        <f t="shared" ca="1" si="9"/>
        <v>0</v>
      </c>
    </row>
    <row r="125" spans="1:14" x14ac:dyDescent="0.35">
      <c r="A125" s="5">
        <v>124</v>
      </c>
      <c r="B125" s="12" t="s">
        <v>151</v>
      </c>
      <c r="C125" s="6">
        <v>44320</v>
      </c>
      <c r="D125" s="6" t="str">
        <f t="shared" si="5"/>
        <v>04</v>
      </c>
      <c r="E125" s="6" t="str">
        <f t="shared" si="6"/>
        <v>May</v>
      </c>
      <c r="F125" s="7" t="s">
        <v>14</v>
      </c>
      <c r="G125" s="7" t="s">
        <v>9</v>
      </c>
      <c r="H125" s="7" t="s">
        <v>10</v>
      </c>
      <c r="I125" s="8">
        <v>3</v>
      </c>
      <c r="J125" s="8">
        <v>190</v>
      </c>
      <c r="K125" s="8">
        <f t="shared" si="7"/>
        <v>570</v>
      </c>
      <c r="L125" s="5" t="s">
        <v>26</v>
      </c>
      <c r="M125" s="7" t="b">
        <f t="shared" ca="1" si="8"/>
        <v>0</v>
      </c>
      <c r="N125" s="16" t="b">
        <f t="shared" ca="1" si="9"/>
        <v>0</v>
      </c>
    </row>
    <row r="126" spans="1:14" x14ac:dyDescent="0.35">
      <c r="A126" s="5">
        <v>125</v>
      </c>
      <c r="B126" s="12" t="s">
        <v>152</v>
      </c>
      <c r="C126" s="6">
        <v>44321</v>
      </c>
      <c r="D126" s="6" t="str">
        <f t="shared" si="5"/>
        <v>05</v>
      </c>
      <c r="E126" s="6" t="str">
        <f t="shared" si="6"/>
        <v>May</v>
      </c>
      <c r="F126" s="7" t="s">
        <v>16</v>
      </c>
      <c r="G126" s="7" t="s">
        <v>9</v>
      </c>
      <c r="H126" s="7" t="s">
        <v>13</v>
      </c>
      <c r="I126" s="8">
        <v>2</v>
      </c>
      <c r="J126" s="8">
        <v>2100</v>
      </c>
      <c r="K126" s="8">
        <f t="shared" si="7"/>
        <v>4200</v>
      </c>
      <c r="L126" s="5" t="s">
        <v>25</v>
      </c>
      <c r="M126" s="7" t="b">
        <f t="shared" ca="1" si="8"/>
        <v>0</v>
      </c>
      <c r="N126" s="16" t="b">
        <f t="shared" ca="1" si="9"/>
        <v>0</v>
      </c>
    </row>
    <row r="127" spans="1:14" x14ac:dyDescent="0.35">
      <c r="A127" s="5">
        <v>126</v>
      </c>
      <c r="B127" s="12" t="s">
        <v>153</v>
      </c>
      <c r="C127" s="6">
        <v>44322</v>
      </c>
      <c r="D127" s="6" t="str">
        <f t="shared" si="5"/>
        <v>06</v>
      </c>
      <c r="E127" s="6" t="str">
        <f t="shared" si="6"/>
        <v>May</v>
      </c>
      <c r="F127" s="7" t="s">
        <v>18</v>
      </c>
      <c r="G127" s="7" t="s">
        <v>9</v>
      </c>
      <c r="H127" s="7" t="s">
        <v>10</v>
      </c>
      <c r="I127" s="8">
        <v>7</v>
      </c>
      <c r="J127" s="8">
        <v>210</v>
      </c>
      <c r="K127" s="8">
        <f t="shared" si="7"/>
        <v>1470</v>
      </c>
      <c r="L127" s="5" t="s">
        <v>26</v>
      </c>
      <c r="M127" s="7" t="b">
        <f t="shared" ca="1" si="8"/>
        <v>0</v>
      </c>
      <c r="N127" s="16" t="b">
        <f t="shared" ca="1" si="9"/>
        <v>0</v>
      </c>
    </row>
    <row r="128" spans="1:14" x14ac:dyDescent="0.35">
      <c r="A128" s="5">
        <v>127</v>
      </c>
      <c r="B128" s="12" t="s">
        <v>154</v>
      </c>
      <c r="C128" s="6">
        <v>44323</v>
      </c>
      <c r="D128" s="6" t="str">
        <f t="shared" si="5"/>
        <v>07</v>
      </c>
      <c r="E128" s="6" t="str">
        <f t="shared" si="6"/>
        <v>May</v>
      </c>
      <c r="F128" s="7" t="s">
        <v>20</v>
      </c>
      <c r="G128" s="7" t="s">
        <v>9</v>
      </c>
      <c r="H128" s="7" t="s">
        <v>13</v>
      </c>
      <c r="I128" s="8">
        <v>6</v>
      </c>
      <c r="J128" s="8">
        <v>2100</v>
      </c>
      <c r="K128" s="8">
        <f t="shared" si="7"/>
        <v>12600</v>
      </c>
      <c r="L128" s="5" t="s">
        <v>25</v>
      </c>
      <c r="M128" s="7" t="b">
        <f t="shared" ca="1" si="8"/>
        <v>0</v>
      </c>
      <c r="N128" s="16" t="b">
        <f t="shared" ca="1" si="9"/>
        <v>0</v>
      </c>
    </row>
    <row r="129" spans="1:14" x14ac:dyDescent="0.35">
      <c r="A129" s="5">
        <v>128</v>
      </c>
      <c r="B129" s="12" t="s">
        <v>155</v>
      </c>
      <c r="C129" s="6">
        <v>44324</v>
      </c>
      <c r="D129" s="6" t="str">
        <f t="shared" si="5"/>
        <v>08</v>
      </c>
      <c r="E129" s="6" t="str">
        <f t="shared" si="6"/>
        <v>May</v>
      </c>
      <c r="F129" s="7" t="s">
        <v>8</v>
      </c>
      <c r="G129" s="7" t="s">
        <v>9</v>
      </c>
      <c r="H129" s="7" t="s">
        <v>15</v>
      </c>
      <c r="I129" s="8">
        <v>5</v>
      </c>
      <c r="J129" s="8">
        <v>1200</v>
      </c>
      <c r="K129" s="8">
        <f t="shared" si="7"/>
        <v>6000</v>
      </c>
      <c r="L129" s="5" t="s">
        <v>26</v>
      </c>
      <c r="M129" s="7" t="b">
        <f t="shared" ca="1" si="8"/>
        <v>0</v>
      </c>
      <c r="N129" s="16" t="b">
        <f t="shared" ca="1" si="9"/>
        <v>0</v>
      </c>
    </row>
    <row r="130" spans="1:14" x14ac:dyDescent="0.35">
      <c r="A130" s="5">
        <v>129</v>
      </c>
      <c r="B130" s="12" t="s">
        <v>156</v>
      </c>
      <c r="C130" s="6">
        <v>44325</v>
      </c>
      <c r="D130" s="6" t="str">
        <f t="shared" si="5"/>
        <v>09</v>
      </c>
      <c r="E130" s="6" t="str">
        <f t="shared" si="6"/>
        <v>May</v>
      </c>
      <c r="F130" s="7" t="s">
        <v>11</v>
      </c>
      <c r="G130" s="7" t="s">
        <v>12</v>
      </c>
      <c r="H130" s="7" t="s">
        <v>17</v>
      </c>
      <c r="I130" s="8">
        <v>4</v>
      </c>
      <c r="J130" s="8">
        <v>1500</v>
      </c>
      <c r="K130" s="8">
        <f t="shared" si="7"/>
        <v>6000</v>
      </c>
      <c r="L130" s="5" t="s">
        <v>25</v>
      </c>
      <c r="M130" s="7" t="b">
        <f t="shared" ca="1" si="8"/>
        <v>0</v>
      </c>
      <c r="N130" s="16" t="b">
        <f t="shared" ca="1" si="9"/>
        <v>0</v>
      </c>
    </row>
    <row r="131" spans="1:14" x14ac:dyDescent="0.35">
      <c r="A131" s="5">
        <v>130</v>
      </c>
      <c r="B131" s="12" t="s">
        <v>157</v>
      </c>
      <c r="C131" s="6">
        <v>44326</v>
      </c>
      <c r="D131" s="6" t="str">
        <f t="shared" ref="D131:D194" si="10">TEXT(C131,"dd")</f>
        <v>10</v>
      </c>
      <c r="E131" s="6" t="str">
        <f t="shared" ref="E131:E194" si="11">TEXT(C131,"mmm")</f>
        <v>May</v>
      </c>
      <c r="F131" s="7" t="s">
        <v>14</v>
      </c>
      <c r="G131" s="7" t="s">
        <v>9</v>
      </c>
      <c r="H131" s="7" t="s">
        <v>19</v>
      </c>
      <c r="I131" s="8">
        <v>3</v>
      </c>
      <c r="J131" s="8">
        <v>300</v>
      </c>
      <c r="K131" s="8">
        <f t="shared" ref="K131:K194" si="12">I131*J131</f>
        <v>900</v>
      </c>
      <c r="L131" s="5" t="s">
        <v>26</v>
      </c>
      <c r="M131" s="7" t="b">
        <f t="shared" ref="M131:M194" ca="1" si="13">AND(A131&gt;=(TODAY()-28),A131&lt;TODAY())</f>
        <v>0</v>
      </c>
      <c r="N131" s="16" t="b">
        <f t="shared" ref="N131:N194" ca="1" si="14">AND(A131&gt;=(TODAY()-56),A131&lt;(TODAY()-28))</f>
        <v>0</v>
      </c>
    </row>
    <row r="132" spans="1:14" x14ac:dyDescent="0.35">
      <c r="A132" s="5">
        <v>131</v>
      </c>
      <c r="B132" s="12" t="s">
        <v>158</v>
      </c>
      <c r="C132" s="6">
        <v>44327</v>
      </c>
      <c r="D132" s="6" t="str">
        <f t="shared" si="10"/>
        <v>11</v>
      </c>
      <c r="E132" s="6" t="str">
        <f t="shared" si="11"/>
        <v>May</v>
      </c>
      <c r="F132" s="7" t="s">
        <v>16</v>
      </c>
      <c r="G132" s="7" t="s">
        <v>12</v>
      </c>
      <c r="H132" s="7" t="s">
        <v>21</v>
      </c>
      <c r="I132" s="8">
        <v>2</v>
      </c>
      <c r="J132" s="8">
        <v>190</v>
      </c>
      <c r="K132" s="8">
        <f t="shared" si="12"/>
        <v>380</v>
      </c>
      <c r="L132" s="5" t="s">
        <v>25</v>
      </c>
      <c r="M132" s="7" t="b">
        <f t="shared" ca="1" si="13"/>
        <v>0</v>
      </c>
      <c r="N132" s="16" t="b">
        <f t="shared" ca="1" si="14"/>
        <v>0</v>
      </c>
    </row>
    <row r="133" spans="1:14" x14ac:dyDescent="0.35">
      <c r="A133" s="5">
        <v>132</v>
      </c>
      <c r="B133" s="12" t="s">
        <v>159</v>
      </c>
      <c r="C133" s="6">
        <v>44328</v>
      </c>
      <c r="D133" s="6" t="str">
        <f t="shared" si="10"/>
        <v>12</v>
      </c>
      <c r="E133" s="6" t="str">
        <f t="shared" si="11"/>
        <v>May</v>
      </c>
      <c r="F133" s="7" t="s">
        <v>18</v>
      </c>
      <c r="G133" s="7" t="s">
        <v>9</v>
      </c>
      <c r="H133" s="7" t="s">
        <v>10</v>
      </c>
      <c r="I133" s="8">
        <v>7</v>
      </c>
      <c r="J133" s="8">
        <v>210</v>
      </c>
      <c r="K133" s="8">
        <f t="shared" si="12"/>
        <v>1470</v>
      </c>
      <c r="L133" s="5" t="s">
        <v>26</v>
      </c>
      <c r="M133" s="7" t="b">
        <f t="shared" ca="1" si="13"/>
        <v>0</v>
      </c>
      <c r="N133" s="16" t="b">
        <f t="shared" ca="1" si="14"/>
        <v>0</v>
      </c>
    </row>
    <row r="134" spans="1:14" x14ac:dyDescent="0.35">
      <c r="A134" s="5">
        <v>133</v>
      </c>
      <c r="B134" s="12" t="s">
        <v>160</v>
      </c>
      <c r="C134" s="6">
        <v>44329</v>
      </c>
      <c r="D134" s="6" t="str">
        <f t="shared" si="10"/>
        <v>13</v>
      </c>
      <c r="E134" s="6" t="str">
        <f t="shared" si="11"/>
        <v>May</v>
      </c>
      <c r="F134" s="7" t="s">
        <v>20</v>
      </c>
      <c r="G134" s="7" t="s">
        <v>9</v>
      </c>
      <c r="H134" s="7" t="s">
        <v>13</v>
      </c>
      <c r="I134" s="8">
        <v>6</v>
      </c>
      <c r="J134" s="8">
        <v>2100</v>
      </c>
      <c r="K134" s="8">
        <f t="shared" si="12"/>
        <v>12600</v>
      </c>
      <c r="L134" s="5" t="s">
        <v>25</v>
      </c>
      <c r="M134" s="7" t="b">
        <f t="shared" ca="1" si="13"/>
        <v>0</v>
      </c>
      <c r="N134" s="16" t="b">
        <f t="shared" ca="1" si="14"/>
        <v>0</v>
      </c>
    </row>
    <row r="135" spans="1:14" x14ac:dyDescent="0.35">
      <c r="A135" s="5">
        <v>134</v>
      </c>
      <c r="B135" s="12" t="s">
        <v>161</v>
      </c>
      <c r="C135" s="6">
        <v>44330</v>
      </c>
      <c r="D135" s="6" t="str">
        <f t="shared" si="10"/>
        <v>14</v>
      </c>
      <c r="E135" s="6" t="str">
        <f t="shared" si="11"/>
        <v>May</v>
      </c>
      <c r="F135" s="7" t="s">
        <v>20</v>
      </c>
      <c r="G135" s="7" t="s">
        <v>9</v>
      </c>
      <c r="H135" s="7" t="s">
        <v>15</v>
      </c>
      <c r="I135" s="8">
        <v>5</v>
      </c>
      <c r="J135" s="8">
        <v>1200</v>
      </c>
      <c r="K135" s="8">
        <f t="shared" si="12"/>
        <v>6000</v>
      </c>
      <c r="L135" s="5" t="s">
        <v>26</v>
      </c>
      <c r="M135" s="7" t="b">
        <f t="shared" ca="1" si="13"/>
        <v>0</v>
      </c>
      <c r="N135" s="16" t="b">
        <f t="shared" ca="1" si="14"/>
        <v>0</v>
      </c>
    </row>
    <row r="136" spans="1:14" x14ac:dyDescent="0.35">
      <c r="A136" s="5">
        <v>135</v>
      </c>
      <c r="B136" s="12" t="s">
        <v>162</v>
      </c>
      <c r="C136" s="6">
        <v>44331</v>
      </c>
      <c r="D136" s="6" t="str">
        <f t="shared" si="10"/>
        <v>15</v>
      </c>
      <c r="E136" s="6" t="str">
        <f t="shared" si="11"/>
        <v>May</v>
      </c>
      <c r="F136" s="7" t="s">
        <v>8</v>
      </c>
      <c r="G136" s="7" t="s">
        <v>9</v>
      </c>
      <c r="H136" s="7" t="s">
        <v>17</v>
      </c>
      <c r="I136" s="8">
        <v>4</v>
      </c>
      <c r="J136" s="8">
        <v>1500</v>
      </c>
      <c r="K136" s="8">
        <f t="shared" si="12"/>
        <v>6000</v>
      </c>
      <c r="L136" s="5" t="s">
        <v>25</v>
      </c>
      <c r="M136" s="7" t="b">
        <f t="shared" ca="1" si="13"/>
        <v>0</v>
      </c>
      <c r="N136" s="16" t="b">
        <f t="shared" ca="1" si="14"/>
        <v>0</v>
      </c>
    </row>
    <row r="137" spans="1:14" x14ac:dyDescent="0.35">
      <c r="A137" s="5">
        <v>136</v>
      </c>
      <c r="B137" s="12" t="s">
        <v>163</v>
      </c>
      <c r="C137" s="6">
        <v>44332</v>
      </c>
      <c r="D137" s="6" t="str">
        <f t="shared" si="10"/>
        <v>16</v>
      </c>
      <c r="E137" s="6" t="str">
        <f t="shared" si="11"/>
        <v>May</v>
      </c>
      <c r="F137" s="7" t="s">
        <v>8</v>
      </c>
      <c r="G137" s="7" t="s">
        <v>12</v>
      </c>
      <c r="H137" s="7" t="s">
        <v>19</v>
      </c>
      <c r="I137" s="8">
        <v>3</v>
      </c>
      <c r="J137" s="8">
        <v>300</v>
      </c>
      <c r="K137" s="8">
        <f t="shared" si="12"/>
        <v>900</v>
      </c>
      <c r="L137" s="5" t="s">
        <v>26</v>
      </c>
      <c r="M137" s="7" t="b">
        <f t="shared" ca="1" si="13"/>
        <v>0</v>
      </c>
      <c r="N137" s="16" t="b">
        <f t="shared" ca="1" si="14"/>
        <v>0</v>
      </c>
    </row>
    <row r="138" spans="1:14" x14ac:dyDescent="0.35">
      <c r="A138" s="5">
        <v>137</v>
      </c>
      <c r="B138" s="12" t="s">
        <v>164</v>
      </c>
      <c r="C138" s="6">
        <v>44333</v>
      </c>
      <c r="D138" s="6" t="str">
        <f t="shared" si="10"/>
        <v>17</v>
      </c>
      <c r="E138" s="6" t="str">
        <f t="shared" si="11"/>
        <v>May</v>
      </c>
      <c r="F138" s="7" t="s">
        <v>8</v>
      </c>
      <c r="G138" s="7" t="s">
        <v>22</v>
      </c>
      <c r="H138" s="7" t="s">
        <v>21</v>
      </c>
      <c r="I138" s="8">
        <v>2</v>
      </c>
      <c r="J138" s="8">
        <v>190</v>
      </c>
      <c r="K138" s="8">
        <f t="shared" si="12"/>
        <v>380</v>
      </c>
      <c r="L138" s="5" t="s">
        <v>25</v>
      </c>
      <c r="M138" s="7" t="b">
        <f t="shared" ca="1" si="13"/>
        <v>0</v>
      </c>
      <c r="N138" s="16" t="b">
        <f t="shared" ca="1" si="14"/>
        <v>0</v>
      </c>
    </row>
    <row r="139" spans="1:14" x14ac:dyDescent="0.35">
      <c r="A139" s="5">
        <v>138</v>
      </c>
      <c r="B139" s="12" t="s">
        <v>165</v>
      </c>
      <c r="C139" s="6">
        <v>44334</v>
      </c>
      <c r="D139" s="6" t="str">
        <f t="shared" si="10"/>
        <v>18</v>
      </c>
      <c r="E139" s="6" t="str">
        <f t="shared" si="11"/>
        <v>May</v>
      </c>
      <c r="F139" s="7" t="s">
        <v>8</v>
      </c>
      <c r="G139" s="7" t="s">
        <v>23</v>
      </c>
      <c r="H139" s="7" t="s">
        <v>10</v>
      </c>
      <c r="I139" s="8">
        <v>2</v>
      </c>
      <c r="J139" s="8">
        <v>210</v>
      </c>
      <c r="K139" s="8">
        <f t="shared" si="12"/>
        <v>420</v>
      </c>
      <c r="L139" s="5" t="s">
        <v>26</v>
      </c>
      <c r="M139" s="7" t="b">
        <f t="shared" ca="1" si="13"/>
        <v>0</v>
      </c>
      <c r="N139" s="16" t="b">
        <f t="shared" ca="1" si="14"/>
        <v>0</v>
      </c>
    </row>
    <row r="140" spans="1:14" x14ac:dyDescent="0.35">
      <c r="A140" s="5">
        <v>139</v>
      </c>
      <c r="B140" s="12" t="s">
        <v>166</v>
      </c>
      <c r="C140" s="6">
        <v>44335</v>
      </c>
      <c r="D140" s="6" t="str">
        <f t="shared" si="10"/>
        <v>19</v>
      </c>
      <c r="E140" s="6" t="str">
        <f t="shared" si="11"/>
        <v>May</v>
      </c>
      <c r="F140" s="7" t="s">
        <v>8</v>
      </c>
      <c r="G140" s="7" t="s">
        <v>9</v>
      </c>
      <c r="H140" s="7" t="s">
        <v>13</v>
      </c>
      <c r="I140" s="8">
        <v>7</v>
      </c>
      <c r="J140" s="8">
        <v>2100</v>
      </c>
      <c r="K140" s="8">
        <f t="shared" si="12"/>
        <v>14700</v>
      </c>
      <c r="L140" s="5" t="s">
        <v>25</v>
      </c>
      <c r="M140" s="7" t="b">
        <f t="shared" ca="1" si="13"/>
        <v>0</v>
      </c>
      <c r="N140" s="16" t="b">
        <f t="shared" ca="1" si="14"/>
        <v>0</v>
      </c>
    </row>
    <row r="141" spans="1:14" x14ac:dyDescent="0.35">
      <c r="A141" s="5">
        <v>140</v>
      </c>
      <c r="B141" s="12" t="s">
        <v>167</v>
      </c>
      <c r="C141" s="6">
        <v>44336</v>
      </c>
      <c r="D141" s="6" t="str">
        <f t="shared" si="10"/>
        <v>20</v>
      </c>
      <c r="E141" s="6" t="str">
        <f t="shared" si="11"/>
        <v>May</v>
      </c>
      <c r="F141" s="7" t="s">
        <v>8</v>
      </c>
      <c r="G141" s="7" t="s">
        <v>12</v>
      </c>
      <c r="H141" s="7" t="s">
        <v>15</v>
      </c>
      <c r="I141" s="8">
        <v>6</v>
      </c>
      <c r="J141" s="8">
        <v>1200</v>
      </c>
      <c r="K141" s="8">
        <f t="shared" si="12"/>
        <v>7200</v>
      </c>
      <c r="L141" s="5" t="s">
        <v>26</v>
      </c>
      <c r="M141" s="7" t="b">
        <f t="shared" ca="1" si="13"/>
        <v>0</v>
      </c>
      <c r="N141" s="16" t="b">
        <f t="shared" ca="1" si="14"/>
        <v>0</v>
      </c>
    </row>
    <row r="142" spans="1:14" x14ac:dyDescent="0.35">
      <c r="A142" s="5">
        <v>141</v>
      </c>
      <c r="B142" s="12" t="s">
        <v>168</v>
      </c>
      <c r="C142" s="6">
        <v>44337</v>
      </c>
      <c r="D142" s="6" t="str">
        <f t="shared" si="10"/>
        <v>21</v>
      </c>
      <c r="E142" s="6" t="str">
        <f t="shared" si="11"/>
        <v>May</v>
      </c>
      <c r="F142" s="7" t="s">
        <v>8</v>
      </c>
      <c r="G142" s="7" t="s">
        <v>22</v>
      </c>
      <c r="H142" s="7" t="s">
        <v>17</v>
      </c>
      <c r="I142" s="8">
        <v>5</v>
      </c>
      <c r="J142" s="8">
        <v>1500</v>
      </c>
      <c r="K142" s="8">
        <f t="shared" si="12"/>
        <v>7500</v>
      </c>
      <c r="L142" s="5" t="s">
        <v>25</v>
      </c>
      <c r="M142" s="7" t="b">
        <f t="shared" ca="1" si="13"/>
        <v>0</v>
      </c>
      <c r="N142" s="16" t="b">
        <f t="shared" ca="1" si="14"/>
        <v>0</v>
      </c>
    </row>
    <row r="143" spans="1:14" x14ac:dyDescent="0.35">
      <c r="A143" s="5">
        <v>142</v>
      </c>
      <c r="B143" s="12" t="s">
        <v>169</v>
      </c>
      <c r="C143" s="6">
        <v>44338</v>
      </c>
      <c r="D143" s="6" t="str">
        <f t="shared" si="10"/>
        <v>22</v>
      </c>
      <c r="E143" s="6" t="str">
        <f t="shared" si="11"/>
        <v>May</v>
      </c>
      <c r="F143" s="7" t="s">
        <v>8</v>
      </c>
      <c r="G143" s="7" t="s">
        <v>23</v>
      </c>
      <c r="H143" s="7" t="s">
        <v>19</v>
      </c>
      <c r="I143" s="8">
        <v>4</v>
      </c>
      <c r="J143" s="8">
        <v>300</v>
      </c>
      <c r="K143" s="8">
        <f t="shared" si="12"/>
        <v>1200</v>
      </c>
      <c r="L143" s="5" t="s">
        <v>26</v>
      </c>
      <c r="M143" s="7" t="b">
        <f t="shared" ca="1" si="13"/>
        <v>0</v>
      </c>
      <c r="N143" s="16" t="b">
        <f t="shared" ca="1" si="14"/>
        <v>0</v>
      </c>
    </row>
    <row r="144" spans="1:14" x14ac:dyDescent="0.35">
      <c r="A144" s="5">
        <v>143</v>
      </c>
      <c r="B144" s="12" t="s">
        <v>170</v>
      </c>
      <c r="C144" s="6">
        <v>44339</v>
      </c>
      <c r="D144" s="6" t="str">
        <f t="shared" si="10"/>
        <v>23</v>
      </c>
      <c r="E144" s="6" t="str">
        <f t="shared" si="11"/>
        <v>May</v>
      </c>
      <c r="F144" s="7" t="s">
        <v>11</v>
      </c>
      <c r="G144" s="7" t="s">
        <v>12</v>
      </c>
      <c r="H144" s="7" t="s">
        <v>21</v>
      </c>
      <c r="I144" s="8">
        <v>3</v>
      </c>
      <c r="J144" s="8">
        <v>190</v>
      </c>
      <c r="K144" s="8">
        <f t="shared" si="12"/>
        <v>570</v>
      </c>
      <c r="L144" s="5" t="s">
        <v>25</v>
      </c>
      <c r="M144" s="7" t="b">
        <f t="shared" ca="1" si="13"/>
        <v>0</v>
      </c>
      <c r="N144" s="16" t="b">
        <f t="shared" ca="1" si="14"/>
        <v>0</v>
      </c>
    </row>
    <row r="145" spans="1:14" x14ac:dyDescent="0.35">
      <c r="A145" s="5">
        <v>144</v>
      </c>
      <c r="B145" s="12" t="s">
        <v>171</v>
      </c>
      <c r="C145" s="6">
        <v>44340</v>
      </c>
      <c r="D145" s="6" t="str">
        <f t="shared" si="10"/>
        <v>24</v>
      </c>
      <c r="E145" s="6" t="str">
        <f t="shared" si="11"/>
        <v>May</v>
      </c>
      <c r="F145" s="7" t="s">
        <v>11</v>
      </c>
      <c r="G145" s="7" t="s">
        <v>9</v>
      </c>
      <c r="H145" s="7" t="s">
        <v>19</v>
      </c>
      <c r="I145" s="8">
        <v>4</v>
      </c>
      <c r="J145" s="8">
        <v>300</v>
      </c>
      <c r="K145" s="8">
        <f t="shared" si="12"/>
        <v>1200</v>
      </c>
      <c r="L145" s="5" t="s">
        <v>26</v>
      </c>
      <c r="M145" s="7" t="b">
        <f t="shared" ca="1" si="13"/>
        <v>0</v>
      </c>
      <c r="N145" s="16" t="b">
        <f t="shared" ca="1" si="14"/>
        <v>0</v>
      </c>
    </row>
    <row r="146" spans="1:14" x14ac:dyDescent="0.35">
      <c r="A146" s="5">
        <v>145</v>
      </c>
      <c r="B146" s="12" t="s">
        <v>172</v>
      </c>
      <c r="C146" s="6">
        <v>44341</v>
      </c>
      <c r="D146" s="6" t="str">
        <f t="shared" si="10"/>
        <v>25</v>
      </c>
      <c r="E146" s="6" t="str">
        <f t="shared" si="11"/>
        <v>May</v>
      </c>
      <c r="F146" s="7" t="s">
        <v>11</v>
      </c>
      <c r="G146" s="7" t="s">
        <v>22</v>
      </c>
      <c r="H146" s="7" t="s">
        <v>19</v>
      </c>
      <c r="I146" s="8">
        <v>4</v>
      </c>
      <c r="J146" s="8">
        <v>300</v>
      </c>
      <c r="K146" s="8">
        <f t="shared" si="12"/>
        <v>1200</v>
      </c>
      <c r="L146" s="5" t="s">
        <v>25</v>
      </c>
      <c r="M146" s="7" t="b">
        <f t="shared" ca="1" si="13"/>
        <v>0</v>
      </c>
      <c r="N146" s="16" t="b">
        <f t="shared" ca="1" si="14"/>
        <v>0</v>
      </c>
    </row>
    <row r="147" spans="1:14" x14ac:dyDescent="0.35">
      <c r="A147" s="5">
        <v>146</v>
      </c>
      <c r="B147" s="12" t="s">
        <v>173</v>
      </c>
      <c r="C147" s="6">
        <v>44342</v>
      </c>
      <c r="D147" s="6" t="str">
        <f t="shared" si="10"/>
        <v>26</v>
      </c>
      <c r="E147" s="6" t="str">
        <f t="shared" si="11"/>
        <v>May</v>
      </c>
      <c r="F147" s="7" t="s">
        <v>11</v>
      </c>
      <c r="G147" s="7" t="s">
        <v>23</v>
      </c>
      <c r="H147" s="7" t="s">
        <v>19</v>
      </c>
      <c r="I147" s="8">
        <v>4</v>
      </c>
      <c r="J147" s="8">
        <v>300</v>
      </c>
      <c r="K147" s="8">
        <f t="shared" si="12"/>
        <v>1200</v>
      </c>
      <c r="L147" s="5" t="s">
        <v>26</v>
      </c>
      <c r="M147" s="7" t="b">
        <f t="shared" ca="1" si="13"/>
        <v>0</v>
      </c>
      <c r="N147" s="16" t="b">
        <f t="shared" ca="1" si="14"/>
        <v>0</v>
      </c>
    </row>
    <row r="148" spans="1:14" x14ac:dyDescent="0.35">
      <c r="A148" s="5">
        <v>147</v>
      </c>
      <c r="B148" s="12" t="s">
        <v>174</v>
      </c>
      <c r="C148" s="6">
        <v>44343</v>
      </c>
      <c r="D148" s="6" t="str">
        <f t="shared" si="10"/>
        <v>27</v>
      </c>
      <c r="E148" s="6" t="str">
        <f t="shared" si="11"/>
        <v>May</v>
      </c>
      <c r="F148" s="7" t="s">
        <v>11</v>
      </c>
      <c r="G148" s="7" t="s">
        <v>12</v>
      </c>
      <c r="H148" s="7" t="s">
        <v>19</v>
      </c>
      <c r="I148" s="8">
        <v>4</v>
      </c>
      <c r="J148" s="8">
        <v>300</v>
      </c>
      <c r="K148" s="8">
        <f t="shared" si="12"/>
        <v>1200</v>
      </c>
      <c r="L148" s="5" t="s">
        <v>25</v>
      </c>
      <c r="M148" s="7" t="b">
        <f t="shared" ca="1" si="13"/>
        <v>0</v>
      </c>
      <c r="N148" s="16" t="b">
        <f t="shared" ca="1" si="14"/>
        <v>0</v>
      </c>
    </row>
    <row r="149" spans="1:14" x14ac:dyDescent="0.35">
      <c r="A149" s="5">
        <v>148</v>
      </c>
      <c r="B149" s="12" t="s">
        <v>175</v>
      </c>
      <c r="C149" s="6">
        <v>44344</v>
      </c>
      <c r="D149" s="6" t="str">
        <f t="shared" si="10"/>
        <v>28</v>
      </c>
      <c r="E149" s="6" t="str">
        <f t="shared" si="11"/>
        <v>May</v>
      </c>
      <c r="F149" s="7" t="s">
        <v>11</v>
      </c>
      <c r="G149" s="7" t="s">
        <v>9</v>
      </c>
      <c r="H149" s="7" t="s">
        <v>19</v>
      </c>
      <c r="I149" s="8">
        <v>4</v>
      </c>
      <c r="J149" s="8">
        <v>300</v>
      </c>
      <c r="K149" s="8">
        <f t="shared" si="12"/>
        <v>1200</v>
      </c>
      <c r="L149" s="5" t="s">
        <v>26</v>
      </c>
      <c r="M149" s="7" t="b">
        <f t="shared" ca="1" si="13"/>
        <v>0</v>
      </c>
      <c r="N149" s="16" t="b">
        <f t="shared" ca="1" si="14"/>
        <v>0</v>
      </c>
    </row>
    <row r="150" spans="1:14" x14ac:dyDescent="0.35">
      <c r="A150" s="5">
        <v>149</v>
      </c>
      <c r="B150" s="12" t="s">
        <v>176</v>
      </c>
      <c r="C150" s="6">
        <v>44345</v>
      </c>
      <c r="D150" s="6" t="str">
        <f t="shared" si="10"/>
        <v>29</v>
      </c>
      <c r="E150" s="6" t="str">
        <f t="shared" si="11"/>
        <v>May</v>
      </c>
      <c r="F150" s="7" t="s">
        <v>11</v>
      </c>
      <c r="G150" s="7" t="s">
        <v>22</v>
      </c>
      <c r="H150" s="7" t="s">
        <v>19</v>
      </c>
      <c r="I150" s="8">
        <v>4</v>
      </c>
      <c r="J150" s="8">
        <v>300</v>
      </c>
      <c r="K150" s="8">
        <f t="shared" si="12"/>
        <v>1200</v>
      </c>
      <c r="L150" s="5" t="s">
        <v>25</v>
      </c>
      <c r="M150" s="7" t="b">
        <f t="shared" ca="1" si="13"/>
        <v>0</v>
      </c>
      <c r="N150" s="16" t="b">
        <f t="shared" ca="1" si="14"/>
        <v>0</v>
      </c>
    </row>
    <row r="151" spans="1:14" x14ac:dyDescent="0.35">
      <c r="A151" s="5">
        <v>150</v>
      </c>
      <c r="B151" s="12" t="s">
        <v>177</v>
      </c>
      <c r="C151" s="6">
        <v>44346</v>
      </c>
      <c r="D151" s="6" t="str">
        <f t="shared" si="10"/>
        <v>30</v>
      </c>
      <c r="E151" s="6" t="str">
        <f t="shared" si="11"/>
        <v>May</v>
      </c>
      <c r="F151" s="7" t="s">
        <v>11</v>
      </c>
      <c r="G151" s="7" t="s">
        <v>23</v>
      </c>
      <c r="H151" s="7" t="s">
        <v>19</v>
      </c>
      <c r="I151" s="8">
        <v>4</v>
      </c>
      <c r="J151" s="8">
        <v>300</v>
      </c>
      <c r="K151" s="8">
        <f t="shared" si="12"/>
        <v>1200</v>
      </c>
      <c r="L151" s="5" t="s">
        <v>26</v>
      </c>
      <c r="M151" s="7" t="b">
        <f t="shared" ca="1" si="13"/>
        <v>0</v>
      </c>
      <c r="N151" s="16" t="b">
        <f t="shared" ca="1" si="14"/>
        <v>0</v>
      </c>
    </row>
    <row r="152" spans="1:14" x14ac:dyDescent="0.35">
      <c r="A152" s="5">
        <v>151</v>
      </c>
      <c r="B152" s="12" t="s">
        <v>178</v>
      </c>
      <c r="C152" s="6">
        <v>44347</v>
      </c>
      <c r="D152" s="6" t="str">
        <f t="shared" si="10"/>
        <v>31</v>
      </c>
      <c r="E152" s="6" t="str">
        <f t="shared" si="11"/>
        <v>May</v>
      </c>
      <c r="F152" s="7" t="s">
        <v>14</v>
      </c>
      <c r="G152" s="7" t="s">
        <v>23</v>
      </c>
      <c r="H152" s="7" t="s">
        <v>19</v>
      </c>
      <c r="I152" s="8">
        <v>4</v>
      </c>
      <c r="J152" s="8">
        <v>300</v>
      </c>
      <c r="K152" s="8">
        <f t="shared" si="12"/>
        <v>1200</v>
      </c>
      <c r="L152" s="5" t="s">
        <v>25</v>
      </c>
      <c r="M152" s="7" t="b">
        <f t="shared" ca="1" si="13"/>
        <v>0</v>
      </c>
      <c r="N152" s="16" t="b">
        <f t="shared" ca="1" si="14"/>
        <v>0</v>
      </c>
    </row>
    <row r="153" spans="1:14" x14ac:dyDescent="0.35">
      <c r="A153" s="5">
        <v>152</v>
      </c>
      <c r="B153" s="12" t="s">
        <v>179</v>
      </c>
      <c r="C153" s="6">
        <v>44348</v>
      </c>
      <c r="D153" s="6" t="str">
        <f t="shared" si="10"/>
        <v>01</v>
      </c>
      <c r="E153" s="6" t="str">
        <f t="shared" si="11"/>
        <v>Jun</v>
      </c>
      <c r="F153" s="7" t="s">
        <v>16</v>
      </c>
      <c r="G153" s="7" t="s">
        <v>23</v>
      </c>
      <c r="H153" s="7" t="s">
        <v>13</v>
      </c>
      <c r="I153" s="8">
        <v>6</v>
      </c>
      <c r="J153" s="8">
        <v>2100</v>
      </c>
      <c r="K153" s="8">
        <f t="shared" si="12"/>
        <v>12600</v>
      </c>
      <c r="L153" s="5" t="s">
        <v>26</v>
      </c>
      <c r="M153" s="7" t="b">
        <f t="shared" ca="1" si="13"/>
        <v>0</v>
      </c>
      <c r="N153" s="16" t="b">
        <f t="shared" ca="1" si="14"/>
        <v>0</v>
      </c>
    </row>
    <row r="154" spans="1:14" x14ac:dyDescent="0.35">
      <c r="A154" s="5">
        <v>153</v>
      </c>
      <c r="B154" s="12" t="s">
        <v>180</v>
      </c>
      <c r="C154" s="6">
        <v>44349</v>
      </c>
      <c r="D154" s="6" t="str">
        <f t="shared" si="10"/>
        <v>02</v>
      </c>
      <c r="E154" s="6" t="str">
        <f t="shared" si="11"/>
        <v>Jun</v>
      </c>
      <c r="F154" s="7" t="s">
        <v>18</v>
      </c>
      <c r="G154" s="7" t="s">
        <v>23</v>
      </c>
      <c r="H154" s="7" t="s">
        <v>15</v>
      </c>
      <c r="I154" s="8">
        <v>5</v>
      </c>
      <c r="J154" s="8">
        <v>1200</v>
      </c>
      <c r="K154" s="8">
        <f t="shared" si="12"/>
        <v>6000</v>
      </c>
      <c r="L154" s="5" t="s">
        <v>25</v>
      </c>
      <c r="M154" s="7" t="b">
        <f t="shared" ca="1" si="13"/>
        <v>0</v>
      </c>
      <c r="N154" s="16" t="b">
        <f t="shared" ca="1" si="14"/>
        <v>0</v>
      </c>
    </row>
    <row r="155" spans="1:14" x14ac:dyDescent="0.35">
      <c r="A155" s="5">
        <v>154</v>
      </c>
      <c r="B155" s="12" t="s">
        <v>181</v>
      </c>
      <c r="C155" s="6">
        <v>44350</v>
      </c>
      <c r="D155" s="6" t="str">
        <f t="shared" si="10"/>
        <v>03</v>
      </c>
      <c r="E155" s="6" t="str">
        <f t="shared" si="11"/>
        <v>Jun</v>
      </c>
      <c r="F155" s="7" t="s">
        <v>20</v>
      </c>
      <c r="G155" s="7" t="s">
        <v>23</v>
      </c>
      <c r="H155" s="7" t="s">
        <v>17</v>
      </c>
      <c r="I155" s="8">
        <v>4</v>
      </c>
      <c r="J155" s="8">
        <v>1500</v>
      </c>
      <c r="K155" s="8">
        <f t="shared" si="12"/>
        <v>6000</v>
      </c>
      <c r="L155" s="5" t="s">
        <v>26</v>
      </c>
      <c r="M155" s="7" t="b">
        <f t="shared" ca="1" si="13"/>
        <v>0</v>
      </c>
      <c r="N155" s="16" t="b">
        <f t="shared" ca="1" si="14"/>
        <v>0</v>
      </c>
    </row>
    <row r="156" spans="1:14" x14ac:dyDescent="0.35">
      <c r="A156" s="5">
        <v>155</v>
      </c>
      <c r="B156" s="12" t="s">
        <v>182</v>
      </c>
      <c r="C156" s="6">
        <v>44351</v>
      </c>
      <c r="D156" s="6" t="str">
        <f t="shared" si="10"/>
        <v>04</v>
      </c>
      <c r="E156" s="6" t="str">
        <f t="shared" si="11"/>
        <v>Jun</v>
      </c>
      <c r="F156" s="7" t="s">
        <v>20</v>
      </c>
      <c r="G156" s="7" t="s">
        <v>9</v>
      </c>
      <c r="H156" s="7" t="s">
        <v>19</v>
      </c>
      <c r="I156" s="8">
        <v>3</v>
      </c>
      <c r="J156" s="8">
        <v>300</v>
      </c>
      <c r="K156" s="8">
        <f t="shared" si="12"/>
        <v>900</v>
      </c>
      <c r="L156" s="5" t="s">
        <v>25</v>
      </c>
      <c r="M156" s="7" t="b">
        <f t="shared" ca="1" si="13"/>
        <v>0</v>
      </c>
      <c r="N156" s="16" t="b">
        <f t="shared" ca="1" si="14"/>
        <v>0</v>
      </c>
    </row>
    <row r="157" spans="1:14" x14ac:dyDescent="0.35">
      <c r="A157" s="5">
        <v>156</v>
      </c>
      <c r="B157" s="12" t="s">
        <v>183</v>
      </c>
      <c r="C157" s="6">
        <v>44352</v>
      </c>
      <c r="D157" s="6" t="str">
        <f t="shared" si="10"/>
        <v>05</v>
      </c>
      <c r="E157" s="6" t="str">
        <f t="shared" si="11"/>
        <v>Jun</v>
      </c>
      <c r="F157" s="7" t="s">
        <v>20</v>
      </c>
      <c r="G157" s="7" t="s">
        <v>12</v>
      </c>
      <c r="H157" s="7" t="s">
        <v>21</v>
      </c>
      <c r="I157" s="8">
        <v>2</v>
      </c>
      <c r="J157" s="8">
        <v>190</v>
      </c>
      <c r="K157" s="8">
        <f t="shared" si="12"/>
        <v>380</v>
      </c>
      <c r="L157" s="5" t="s">
        <v>26</v>
      </c>
      <c r="M157" s="7" t="b">
        <f t="shared" ca="1" si="13"/>
        <v>0</v>
      </c>
      <c r="N157" s="16" t="b">
        <f t="shared" ca="1" si="14"/>
        <v>0</v>
      </c>
    </row>
    <row r="158" spans="1:14" x14ac:dyDescent="0.35">
      <c r="A158" s="5">
        <v>157</v>
      </c>
      <c r="B158" s="12" t="s">
        <v>184</v>
      </c>
      <c r="C158" s="6">
        <v>44353</v>
      </c>
      <c r="D158" s="6" t="str">
        <f t="shared" si="10"/>
        <v>06</v>
      </c>
      <c r="E158" s="6" t="str">
        <f t="shared" si="11"/>
        <v>Jun</v>
      </c>
      <c r="F158" s="7" t="s">
        <v>20</v>
      </c>
      <c r="G158" s="7" t="s">
        <v>22</v>
      </c>
      <c r="H158" s="7" t="s">
        <v>10</v>
      </c>
      <c r="I158" s="8">
        <v>7</v>
      </c>
      <c r="J158" s="8">
        <v>210</v>
      </c>
      <c r="K158" s="8">
        <f t="shared" si="12"/>
        <v>1470</v>
      </c>
      <c r="L158" s="5" t="s">
        <v>25</v>
      </c>
      <c r="M158" s="7" t="b">
        <f t="shared" ca="1" si="13"/>
        <v>0</v>
      </c>
      <c r="N158" s="16" t="b">
        <f t="shared" ca="1" si="14"/>
        <v>0</v>
      </c>
    </row>
    <row r="159" spans="1:14" x14ac:dyDescent="0.35">
      <c r="A159" s="5">
        <v>158</v>
      </c>
      <c r="B159" s="12" t="s">
        <v>185</v>
      </c>
      <c r="C159" s="6">
        <v>44354</v>
      </c>
      <c r="D159" s="6" t="str">
        <f t="shared" si="10"/>
        <v>07</v>
      </c>
      <c r="E159" s="6" t="str">
        <f t="shared" si="11"/>
        <v>Jun</v>
      </c>
      <c r="F159" s="7" t="s">
        <v>20</v>
      </c>
      <c r="G159" s="7" t="s">
        <v>23</v>
      </c>
      <c r="H159" s="7" t="s">
        <v>13</v>
      </c>
      <c r="I159" s="8">
        <v>6</v>
      </c>
      <c r="J159" s="8">
        <v>2100</v>
      </c>
      <c r="K159" s="8">
        <f t="shared" si="12"/>
        <v>12600</v>
      </c>
      <c r="L159" s="5" t="s">
        <v>26</v>
      </c>
      <c r="M159" s="7" t="b">
        <f t="shared" ca="1" si="13"/>
        <v>0</v>
      </c>
      <c r="N159" s="16" t="b">
        <f t="shared" ca="1" si="14"/>
        <v>0</v>
      </c>
    </row>
    <row r="160" spans="1:14" x14ac:dyDescent="0.35">
      <c r="A160" s="5">
        <v>159</v>
      </c>
      <c r="B160" s="12" t="s">
        <v>186</v>
      </c>
      <c r="C160" s="6">
        <v>44355</v>
      </c>
      <c r="D160" s="6" t="str">
        <f t="shared" si="10"/>
        <v>08</v>
      </c>
      <c r="E160" s="6" t="str">
        <f t="shared" si="11"/>
        <v>Jun</v>
      </c>
      <c r="F160" s="7" t="s">
        <v>20</v>
      </c>
      <c r="G160" s="7" t="s">
        <v>9</v>
      </c>
      <c r="H160" s="7" t="s">
        <v>15</v>
      </c>
      <c r="I160" s="8">
        <v>5</v>
      </c>
      <c r="J160" s="8">
        <v>1200</v>
      </c>
      <c r="K160" s="8">
        <f t="shared" si="12"/>
        <v>6000</v>
      </c>
      <c r="L160" s="5" t="s">
        <v>25</v>
      </c>
      <c r="M160" s="7" t="b">
        <f t="shared" ca="1" si="13"/>
        <v>0</v>
      </c>
      <c r="N160" s="16" t="b">
        <f t="shared" ca="1" si="14"/>
        <v>0</v>
      </c>
    </row>
    <row r="161" spans="1:14" x14ac:dyDescent="0.35">
      <c r="A161" s="5">
        <v>160</v>
      </c>
      <c r="B161" s="12" t="s">
        <v>187</v>
      </c>
      <c r="C161" s="6">
        <v>44356</v>
      </c>
      <c r="D161" s="6" t="str">
        <f t="shared" si="10"/>
        <v>09</v>
      </c>
      <c r="E161" s="6" t="str">
        <f t="shared" si="11"/>
        <v>Jun</v>
      </c>
      <c r="F161" s="7" t="s">
        <v>20</v>
      </c>
      <c r="G161" s="7" t="s">
        <v>12</v>
      </c>
      <c r="H161" s="7" t="s">
        <v>17</v>
      </c>
      <c r="I161" s="8">
        <v>4</v>
      </c>
      <c r="J161" s="8">
        <v>1500</v>
      </c>
      <c r="K161" s="8">
        <f t="shared" si="12"/>
        <v>6000</v>
      </c>
      <c r="L161" s="5" t="s">
        <v>26</v>
      </c>
      <c r="M161" s="7" t="b">
        <f t="shared" ca="1" si="13"/>
        <v>0</v>
      </c>
      <c r="N161" s="16" t="b">
        <f t="shared" ca="1" si="14"/>
        <v>0</v>
      </c>
    </row>
    <row r="162" spans="1:14" x14ac:dyDescent="0.35">
      <c r="A162" s="5">
        <v>161</v>
      </c>
      <c r="B162" s="12" t="s">
        <v>188</v>
      </c>
      <c r="C162" s="6">
        <v>44357</v>
      </c>
      <c r="D162" s="6" t="str">
        <f t="shared" si="10"/>
        <v>10</v>
      </c>
      <c r="E162" s="6" t="str">
        <f t="shared" si="11"/>
        <v>Jun</v>
      </c>
      <c r="F162" s="7" t="s">
        <v>20</v>
      </c>
      <c r="G162" s="7" t="s">
        <v>22</v>
      </c>
      <c r="H162" s="7" t="s">
        <v>19</v>
      </c>
      <c r="I162" s="8">
        <v>3</v>
      </c>
      <c r="J162" s="8">
        <v>300</v>
      </c>
      <c r="K162" s="8">
        <f t="shared" si="12"/>
        <v>900</v>
      </c>
      <c r="L162" s="5" t="s">
        <v>25</v>
      </c>
      <c r="M162" s="7" t="b">
        <f t="shared" ca="1" si="13"/>
        <v>0</v>
      </c>
      <c r="N162" s="16" t="b">
        <f t="shared" ca="1" si="14"/>
        <v>0</v>
      </c>
    </row>
    <row r="163" spans="1:14" x14ac:dyDescent="0.35">
      <c r="A163" s="5">
        <v>162</v>
      </c>
      <c r="B163" s="12" t="s">
        <v>189</v>
      </c>
      <c r="C163" s="6">
        <v>44358</v>
      </c>
      <c r="D163" s="6" t="str">
        <f t="shared" si="10"/>
        <v>11</v>
      </c>
      <c r="E163" s="6" t="str">
        <f t="shared" si="11"/>
        <v>Jun</v>
      </c>
      <c r="F163" s="7" t="s">
        <v>20</v>
      </c>
      <c r="G163" s="7" t="s">
        <v>23</v>
      </c>
      <c r="H163" s="7" t="s">
        <v>21</v>
      </c>
      <c r="I163" s="8">
        <v>2</v>
      </c>
      <c r="J163" s="8">
        <v>190</v>
      </c>
      <c r="K163" s="8">
        <f t="shared" si="12"/>
        <v>380</v>
      </c>
      <c r="L163" s="5" t="s">
        <v>26</v>
      </c>
      <c r="M163" s="7" t="b">
        <f t="shared" ca="1" si="13"/>
        <v>0</v>
      </c>
      <c r="N163" s="16" t="b">
        <f t="shared" ca="1" si="14"/>
        <v>0</v>
      </c>
    </row>
    <row r="164" spans="1:14" x14ac:dyDescent="0.35">
      <c r="A164" s="5">
        <v>163</v>
      </c>
      <c r="B164" s="12" t="s">
        <v>190</v>
      </c>
      <c r="C164" s="6">
        <v>44359</v>
      </c>
      <c r="D164" s="6" t="str">
        <f t="shared" si="10"/>
        <v>12</v>
      </c>
      <c r="E164" s="6" t="str">
        <f t="shared" si="11"/>
        <v>Jun</v>
      </c>
      <c r="F164" s="7" t="s">
        <v>8</v>
      </c>
      <c r="G164" s="7" t="s">
        <v>9</v>
      </c>
      <c r="H164" s="7" t="s">
        <v>10</v>
      </c>
      <c r="I164" s="8">
        <v>2</v>
      </c>
      <c r="J164" s="8">
        <v>210</v>
      </c>
      <c r="K164" s="8">
        <f t="shared" si="12"/>
        <v>420</v>
      </c>
      <c r="L164" s="5" t="s">
        <v>25</v>
      </c>
      <c r="M164" s="7" t="b">
        <f t="shared" ca="1" si="13"/>
        <v>0</v>
      </c>
      <c r="N164" s="16" t="b">
        <f t="shared" ca="1" si="14"/>
        <v>0</v>
      </c>
    </row>
    <row r="165" spans="1:14" x14ac:dyDescent="0.35">
      <c r="A165" s="5">
        <v>164</v>
      </c>
      <c r="B165" s="12" t="s">
        <v>191</v>
      </c>
      <c r="C165" s="6">
        <v>44360</v>
      </c>
      <c r="D165" s="6" t="str">
        <f t="shared" si="10"/>
        <v>13</v>
      </c>
      <c r="E165" s="6" t="str">
        <f t="shared" si="11"/>
        <v>Jun</v>
      </c>
      <c r="F165" s="7" t="s">
        <v>11</v>
      </c>
      <c r="G165" s="7" t="s">
        <v>12</v>
      </c>
      <c r="H165" s="7" t="s">
        <v>13</v>
      </c>
      <c r="I165" s="8">
        <v>7</v>
      </c>
      <c r="J165" s="8">
        <v>2100</v>
      </c>
      <c r="K165" s="8">
        <f t="shared" si="12"/>
        <v>14700</v>
      </c>
      <c r="L165" s="5" t="s">
        <v>26</v>
      </c>
      <c r="M165" s="7" t="b">
        <f t="shared" ca="1" si="13"/>
        <v>0</v>
      </c>
      <c r="N165" s="16" t="b">
        <f t="shared" ca="1" si="14"/>
        <v>0</v>
      </c>
    </row>
    <row r="166" spans="1:14" x14ac:dyDescent="0.35">
      <c r="A166" s="5">
        <v>165</v>
      </c>
      <c r="B166" s="12" t="s">
        <v>192</v>
      </c>
      <c r="C166" s="6">
        <v>44361</v>
      </c>
      <c r="D166" s="6" t="str">
        <f t="shared" si="10"/>
        <v>14</v>
      </c>
      <c r="E166" s="6" t="str">
        <f t="shared" si="11"/>
        <v>Jun</v>
      </c>
      <c r="F166" s="7" t="s">
        <v>14</v>
      </c>
      <c r="G166" s="7" t="s">
        <v>9</v>
      </c>
      <c r="H166" s="7" t="s">
        <v>15</v>
      </c>
      <c r="I166" s="8">
        <v>6</v>
      </c>
      <c r="J166" s="8">
        <v>1200</v>
      </c>
      <c r="K166" s="8">
        <f t="shared" si="12"/>
        <v>7200</v>
      </c>
      <c r="L166" s="5" t="s">
        <v>25</v>
      </c>
      <c r="M166" s="7" t="b">
        <f t="shared" ca="1" si="13"/>
        <v>0</v>
      </c>
      <c r="N166" s="16" t="b">
        <f t="shared" ca="1" si="14"/>
        <v>0</v>
      </c>
    </row>
    <row r="167" spans="1:14" x14ac:dyDescent="0.35">
      <c r="A167" s="5">
        <v>166</v>
      </c>
      <c r="B167" s="12" t="s">
        <v>193</v>
      </c>
      <c r="C167" s="6">
        <v>44362</v>
      </c>
      <c r="D167" s="6" t="str">
        <f t="shared" si="10"/>
        <v>15</v>
      </c>
      <c r="E167" s="6" t="str">
        <f t="shared" si="11"/>
        <v>Jun</v>
      </c>
      <c r="F167" s="7" t="s">
        <v>16</v>
      </c>
      <c r="G167" s="7" t="s">
        <v>12</v>
      </c>
      <c r="H167" s="7" t="s">
        <v>17</v>
      </c>
      <c r="I167" s="8">
        <v>5</v>
      </c>
      <c r="J167" s="8">
        <v>1500</v>
      </c>
      <c r="K167" s="8">
        <f t="shared" si="12"/>
        <v>7500</v>
      </c>
      <c r="L167" s="5" t="s">
        <v>26</v>
      </c>
      <c r="M167" s="7" t="b">
        <f t="shared" ca="1" si="13"/>
        <v>0</v>
      </c>
      <c r="N167" s="16" t="b">
        <f t="shared" ca="1" si="14"/>
        <v>0</v>
      </c>
    </row>
    <row r="168" spans="1:14" x14ac:dyDescent="0.35">
      <c r="A168" s="5">
        <v>167</v>
      </c>
      <c r="B168" s="12" t="s">
        <v>194</v>
      </c>
      <c r="C168" s="6">
        <v>44363</v>
      </c>
      <c r="D168" s="6" t="str">
        <f t="shared" si="10"/>
        <v>16</v>
      </c>
      <c r="E168" s="6" t="str">
        <f t="shared" si="11"/>
        <v>Jun</v>
      </c>
      <c r="F168" s="7" t="s">
        <v>18</v>
      </c>
      <c r="G168" s="7" t="s">
        <v>9</v>
      </c>
      <c r="H168" s="7" t="s">
        <v>19</v>
      </c>
      <c r="I168" s="8">
        <v>4</v>
      </c>
      <c r="J168" s="8">
        <v>300</v>
      </c>
      <c r="K168" s="8">
        <f t="shared" si="12"/>
        <v>1200</v>
      </c>
      <c r="L168" s="5" t="s">
        <v>25</v>
      </c>
      <c r="M168" s="7" t="b">
        <f t="shared" ca="1" si="13"/>
        <v>0</v>
      </c>
      <c r="N168" s="16" t="b">
        <f t="shared" ca="1" si="14"/>
        <v>0</v>
      </c>
    </row>
    <row r="169" spans="1:14" x14ac:dyDescent="0.35">
      <c r="A169" s="5">
        <v>168</v>
      </c>
      <c r="B169" s="12" t="s">
        <v>195</v>
      </c>
      <c r="C169" s="6">
        <v>44364</v>
      </c>
      <c r="D169" s="6" t="str">
        <f t="shared" si="10"/>
        <v>17</v>
      </c>
      <c r="E169" s="6" t="str">
        <f t="shared" si="11"/>
        <v>Jun</v>
      </c>
      <c r="F169" s="7" t="s">
        <v>20</v>
      </c>
      <c r="G169" s="7" t="s">
        <v>9</v>
      </c>
      <c r="H169" s="7" t="s">
        <v>21</v>
      </c>
      <c r="I169" s="8">
        <v>3</v>
      </c>
      <c r="J169" s="8">
        <v>190</v>
      </c>
      <c r="K169" s="8">
        <f t="shared" si="12"/>
        <v>570</v>
      </c>
      <c r="L169" s="5" t="s">
        <v>26</v>
      </c>
      <c r="M169" s="7" t="b">
        <f t="shared" ca="1" si="13"/>
        <v>0</v>
      </c>
      <c r="N169" s="16" t="b">
        <f t="shared" ca="1" si="14"/>
        <v>0</v>
      </c>
    </row>
    <row r="170" spans="1:14" x14ac:dyDescent="0.35">
      <c r="A170" s="5">
        <v>169</v>
      </c>
      <c r="B170" s="12" t="s">
        <v>196</v>
      </c>
      <c r="C170" s="6">
        <v>44365</v>
      </c>
      <c r="D170" s="6" t="str">
        <f t="shared" si="10"/>
        <v>18</v>
      </c>
      <c r="E170" s="6" t="str">
        <f t="shared" si="11"/>
        <v>Jun</v>
      </c>
      <c r="F170" s="7" t="s">
        <v>8</v>
      </c>
      <c r="G170" s="7" t="s">
        <v>9</v>
      </c>
      <c r="H170" s="7" t="s">
        <v>10</v>
      </c>
      <c r="I170" s="8">
        <v>2</v>
      </c>
      <c r="J170" s="8">
        <v>210</v>
      </c>
      <c r="K170" s="8">
        <f t="shared" si="12"/>
        <v>420</v>
      </c>
      <c r="L170" s="5" t="s">
        <v>25</v>
      </c>
      <c r="M170" s="7" t="b">
        <f t="shared" ca="1" si="13"/>
        <v>0</v>
      </c>
      <c r="N170" s="16" t="b">
        <f t="shared" ca="1" si="14"/>
        <v>0</v>
      </c>
    </row>
    <row r="171" spans="1:14" x14ac:dyDescent="0.35">
      <c r="A171" s="5">
        <v>170</v>
      </c>
      <c r="B171" s="12" t="s">
        <v>197</v>
      </c>
      <c r="C171" s="6">
        <v>44366</v>
      </c>
      <c r="D171" s="6" t="str">
        <f t="shared" si="10"/>
        <v>19</v>
      </c>
      <c r="E171" s="6" t="str">
        <f t="shared" si="11"/>
        <v>Jun</v>
      </c>
      <c r="F171" s="7" t="s">
        <v>11</v>
      </c>
      <c r="G171" s="7" t="s">
        <v>12</v>
      </c>
      <c r="H171" s="7" t="s">
        <v>15</v>
      </c>
      <c r="I171" s="8">
        <v>7</v>
      </c>
      <c r="J171" s="8">
        <v>2100</v>
      </c>
      <c r="K171" s="8">
        <f t="shared" si="12"/>
        <v>14700</v>
      </c>
      <c r="L171" s="5" t="s">
        <v>26</v>
      </c>
      <c r="M171" s="7" t="b">
        <f t="shared" ca="1" si="13"/>
        <v>0</v>
      </c>
      <c r="N171" s="16" t="b">
        <f t="shared" ca="1" si="14"/>
        <v>0</v>
      </c>
    </row>
    <row r="172" spans="1:14" x14ac:dyDescent="0.35">
      <c r="A172" s="5">
        <v>171</v>
      </c>
      <c r="B172" s="12" t="s">
        <v>198</v>
      </c>
      <c r="C172" s="6">
        <v>44367</v>
      </c>
      <c r="D172" s="6" t="str">
        <f t="shared" si="10"/>
        <v>20</v>
      </c>
      <c r="E172" s="6" t="str">
        <f t="shared" si="11"/>
        <v>Jun</v>
      </c>
      <c r="F172" s="7" t="s">
        <v>14</v>
      </c>
      <c r="G172" s="7" t="s">
        <v>12</v>
      </c>
      <c r="H172" s="7" t="s">
        <v>17</v>
      </c>
      <c r="I172" s="8">
        <v>6</v>
      </c>
      <c r="J172" s="8">
        <v>1200</v>
      </c>
      <c r="K172" s="8">
        <f t="shared" si="12"/>
        <v>7200</v>
      </c>
      <c r="L172" s="5" t="s">
        <v>25</v>
      </c>
      <c r="M172" s="7" t="b">
        <f t="shared" ca="1" si="13"/>
        <v>0</v>
      </c>
      <c r="N172" s="16" t="b">
        <f t="shared" ca="1" si="14"/>
        <v>0</v>
      </c>
    </row>
    <row r="173" spans="1:14" x14ac:dyDescent="0.35">
      <c r="A173" s="5">
        <v>172</v>
      </c>
      <c r="B173" s="12" t="s">
        <v>199</v>
      </c>
      <c r="C173" s="6">
        <v>44368</v>
      </c>
      <c r="D173" s="6" t="str">
        <f t="shared" si="10"/>
        <v>21</v>
      </c>
      <c r="E173" s="6" t="str">
        <f t="shared" si="11"/>
        <v>Jun</v>
      </c>
      <c r="F173" s="7" t="s">
        <v>16</v>
      </c>
      <c r="G173" s="7" t="s">
        <v>9</v>
      </c>
      <c r="H173" s="7" t="s">
        <v>19</v>
      </c>
      <c r="I173" s="8">
        <v>5</v>
      </c>
      <c r="J173" s="8">
        <v>300</v>
      </c>
      <c r="K173" s="8">
        <f t="shared" si="12"/>
        <v>1500</v>
      </c>
      <c r="L173" s="5" t="s">
        <v>26</v>
      </c>
      <c r="M173" s="7" t="b">
        <f t="shared" ca="1" si="13"/>
        <v>0</v>
      </c>
      <c r="N173" s="16" t="b">
        <f t="shared" ca="1" si="14"/>
        <v>0</v>
      </c>
    </row>
    <row r="174" spans="1:14" x14ac:dyDescent="0.35">
      <c r="A174" s="5">
        <v>173</v>
      </c>
      <c r="B174" s="12" t="s">
        <v>200</v>
      </c>
      <c r="C174" s="6">
        <v>44369</v>
      </c>
      <c r="D174" s="6" t="str">
        <f t="shared" si="10"/>
        <v>22</v>
      </c>
      <c r="E174" s="6" t="str">
        <f t="shared" si="11"/>
        <v>Jun</v>
      </c>
      <c r="F174" s="7" t="s">
        <v>18</v>
      </c>
      <c r="G174" s="7" t="s">
        <v>9</v>
      </c>
      <c r="H174" s="7" t="s">
        <v>21</v>
      </c>
      <c r="I174" s="8">
        <v>4</v>
      </c>
      <c r="J174" s="8">
        <v>200</v>
      </c>
      <c r="K174" s="8">
        <f t="shared" si="12"/>
        <v>800</v>
      </c>
      <c r="L174" s="5" t="s">
        <v>25</v>
      </c>
      <c r="M174" s="7" t="b">
        <f t="shared" ca="1" si="13"/>
        <v>0</v>
      </c>
      <c r="N174" s="16" t="b">
        <f t="shared" ca="1" si="14"/>
        <v>0</v>
      </c>
    </row>
    <row r="175" spans="1:14" x14ac:dyDescent="0.35">
      <c r="A175" s="5">
        <v>174</v>
      </c>
      <c r="B175" s="12" t="s">
        <v>201</v>
      </c>
      <c r="C175" s="6">
        <v>44370</v>
      </c>
      <c r="D175" s="6" t="str">
        <f t="shared" si="10"/>
        <v>23</v>
      </c>
      <c r="E175" s="6" t="str">
        <f t="shared" si="11"/>
        <v>Jun</v>
      </c>
      <c r="F175" s="7" t="s">
        <v>20</v>
      </c>
      <c r="G175" s="7" t="s">
        <v>12</v>
      </c>
      <c r="H175" s="7" t="s">
        <v>10</v>
      </c>
      <c r="I175" s="8">
        <v>3</v>
      </c>
      <c r="J175" s="8">
        <v>190</v>
      </c>
      <c r="K175" s="8">
        <f t="shared" si="12"/>
        <v>570</v>
      </c>
      <c r="L175" s="5" t="s">
        <v>26</v>
      </c>
      <c r="M175" s="7" t="b">
        <f t="shared" ca="1" si="13"/>
        <v>0</v>
      </c>
      <c r="N175" s="16" t="b">
        <f t="shared" ca="1" si="14"/>
        <v>0</v>
      </c>
    </row>
    <row r="176" spans="1:14" x14ac:dyDescent="0.35">
      <c r="A176" s="5">
        <v>175</v>
      </c>
      <c r="B176" s="12" t="s">
        <v>202</v>
      </c>
      <c r="C176" s="6">
        <v>44371</v>
      </c>
      <c r="D176" s="6" t="str">
        <f t="shared" si="10"/>
        <v>24</v>
      </c>
      <c r="E176" s="6" t="str">
        <f t="shared" si="11"/>
        <v>Jun</v>
      </c>
      <c r="F176" s="7" t="s">
        <v>20</v>
      </c>
      <c r="G176" s="7" t="s">
        <v>9</v>
      </c>
      <c r="H176" s="7" t="s">
        <v>13</v>
      </c>
      <c r="I176" s="8">
        <v>2</v>
      </c>
      <c r="J176" s="8">
        <v>2100</v>
      </c>
      <c r="K176" s="8">
        <f t="shared" si="12"/>
        <v>4200</v>
      </c>
      <c r="L176" s="5" t="s">
        <v>25</v>
      </c>
      <c r="M176" s="7" t="b">
        <f t="shared" ca="1" si="13"/>
        <v>0</v>
      </c>
      <c r="N176" s="16" t="b">
        <f t="shared" ca="1" si="14"/>
        <v>0</v>
      </c>
    </row>
    <row r="177" spans="1:14" x14ac:dyDescent="0.35">
      <c r="A177" s="5">
        <v>176</v>
      </c>
      <c r="B177" s="12" t="s">
        <v>203</v>
      </c>
      <c r="C177" s="6">
        <v>44372</v>
      </c>
      <c r="D177" s="6" t="str">
        <f t="shared" si="10"/>
        <v>25</v>
      </c>
      <c r="E177" s="6" t="str">
        <f t="shared" si="11"/>
        <v>Jun</v>
      </c>
      <c r="F177" s="7" t="s">
        <v>8</v>
      </c>
      <c r="G177" s="7" t="s">
        <v>9</v>
      </c>
      <c r="H177" s="7" t="s">
        <v>10</v>
      </c>
      <c r="I177" s="8">
        <v>7</v>
      </c>
      <c r="J177" s="8">
        <v>210</v>
      </c>
      <c r="K177" s="8">
        <f t="shared" si="12"/>
        <v>1470</v>
      </c>
      <c r="L177" s="5" t="s">
        <v>26</v>
      </c>
      <c r="M177" s="7" t="b">
        <f t="shared" ca="1" si="13"/>
        <v>0</v>
      </c>
      <c r="N177" s="16" t="b">
        <f t="shared" ca="1" si="14"/>
        <v>0</v>
      </c>
    </row>
    <row r="178" spans="1:14" x14ac:dyDescent="0.35">
      <c r="A178" s="5">
        <v>177</v>
      </c>
      <c r="B178" s="12" t="s">
        <v>204</v>
      </c>
      <c r="C178" s="6">
        <v>44373</v>
      </c>
      <c r="D178" s="6" t="str">
        <f t="shared" si="10"/>
        <v>26</v>
      </c>
      <c r="E178" s="6" t="str">
        <f t="shared" si="11"/>
        <v>Jun</v>
      </c>
      <c r="F178" s="7" t="s">
        <v>11</v>
      </c>
      <c r="G178" s="7" t="s">
        <v>9</v>
      </c>
      <c r="H178" s="7" t="s">
        <v>10</v>
      </c>
      <c r="I178" s="8">
        <v>3</v>
      </c>
      <c r="J178" s="8">
        <v>190</v>
      </c>
      <c r="K178" s="8">
        <f t="shared" si="12"/>
        <v>570</v>
      </c>
      <c r="L178" s="5" t="s">
        <v>25</v>
      </c>
      <c r="M178" s="7" t="b">
        <f t="shared" ca="1" si="13"/>
        <v>0</v>
      </c>
      <c r="N178" s="16" t="b">
        <f t="shared" ca="1" si="14"/>
        <v>0</v>
      </c>
    </row>
    <row r="179" spans="1:14" x14ac:dyDescent="0.35">
      <c r="A179" s="5">
        <v>178</v>
      </c>
      <c r="B179" s="12" t="s">
        <v>205</v>
      </c>
      <c r="C179" s="6">
        <v>44374</v>
      </c>
      <c r="D179" s="6" t="str">
        <f t="shared" si="10"/>
        <v>27</v>
      </c>
      <c r="E179" s="6" t="str">
        <f t="shared" si="11"/>
        <v>Jun</v>
      </c>
      <c r="F179" s="7" t="s">
        <v>14</v>
      </c>
      <c r="G179" s="7" t="s">
        <v>9</v>
      </c>
      <c r="H179" s="7" t="s">
        <v>10</v>
      </c>
      <c r="I179" s="8">
        <v>3</v>
      </c>
      <c r="J179" s="8">
        <v>190</v>
      </c>
      <c r="K179" s="8">
        <f t="shared" si="12"/>
        <v>570</v>
      </c>
      <c r="L179" s="5" t="s">
        <v>26</v>
      </c>
      <c r="M179" s="7" t="b">
        <f t="shared" ca="1" si="13"/>
        <v>0</v>
      </c>
      <c r="N179" s="16" t="b">
        <f t="shared" ca="1" si="14"/>
        <v>0</v>
      </c>
    </row>
    <row r="180" spans="1:14" x14ac:dyDescent="0.35">
      <c r="A180" s="5">
        <v>179</v>
      </c>
      <c r="B180" s="12" t="s">
        <v>206</v>
      </c>
      <c r="C180" s="6">
        <v>44375</v>
      </c>
      <c r="D180" s="6" t="str">
        <f t="shared" si="10"/>
        <v>28</v>
      </c>
      <c r="E180" s="6" t="str">
        <f t="shared" si="11"/>
        <v>Jun</v>
      </c>
      <c r="F180" s="7" t="s">
        <v>16</v>
      </c>
      <c r="G180" s="7" t="s">
        <v>9</v>
      </c>
      <c r="H180" s="7" t="s">
        <v>10</v>
      </c>
      <c r="I180" s="8">
        <v>3</v>
      </c>
      <c r="J180" s="8">
        <v>190</v>
      </c>
      <c r="K180" s="8">
        <f t="shared" si="12"/>
        <v>570</v>
      </c>
      <c r="L180" s="5" t="s">
        <v>25</v>
      </c>
      <c r="M180" s="7" t="b">
        <f t="shared" ca="1" si="13"/>
        <v>0</v>
      </c>
      <c r="N180" s="16" t="b">
        <f t="shared" ca="1" si="14"/>
        <v>0</v>
      </c>
    </row>
    <row r="181" spans="1:14" x14ac:dyDescent="0.35">
      <c r="A181" s="5">
        <v>180</v>
      </c>
      <c r="B181" s="12" t="s">
        <v>207</v>
      </c>
      <c r="C181" s="6">
        <v>44376</v>
      </c>
      <c r="D181" s="6" t="str">
        <f t="shared" si="10"/>
        <v>29</v>
      </c>
      <c r="E181" s="6" t="str">
        <f t="shared" si="11"/>
        <v>Jun</v>
      </c>
      <c r="F181" s="7" t="s">
        <v>18</v>
      </c>
      <c r="G181" s="7" t="s">
        <v>9</v>
      </c>
      <c r="H181" s="7" t="s">
        <v>10</v>
      </c>
      <c r="I181" s="8">
        <v>3</v>
      </c>
      <c r="J181" s="8">
        <v>190</v>
      </c>
      <c r="K181" s="8">
        <f t="shared" si="12"/>
        <v>570</v>
      </c>
      <c r="L181" s="5" t="s">
        <v>26</v>
      </c>
      <c r="M181" s="7" t="b">
        <f t="shared" ca="1" si="13"/>
        <v>0</v>
      </c>
      <c r="N181" s="16" t="b">
        <f t="shared" ca="1" si="14"/>
        <v>0</v>
      </c>
    </row>
    <row r="182" spans="1:14" x14ac:dyDescent="0.35">
      <c r="A182" s="5">
        <v>181</v>
      </c>
      <c r="B182" s="12" t="s">
        <v>208</v>
      </c>
      <c r="C182" s="6">
        <v>44377</v>
      </c>
      <c r="D182" s="6" t="str">
        <f t="shared" si="10"/>
        <v>30</v>
      </c>
      <c r="E182" s="6" t="str">
        <f t="shared" si="11"/>
        <v>Jun</v>
      </c>
      <c r="F182" s="7" t="s">
        <v>20</v>
      </c>
      <c r="G182" s="7" t="s">
        <v>9</v>
      </c>
      <c r="H182" s="7" t="s">
        <v>10</v>
      </c>
      <c r="I182" s="8">
        <v>3</v>
      </c>
      <c r="J182" s="8">
        <v>190</v>
      </c>
      <c r="K182" s="8">
        <f t="shared" si="12"/>
        <v>570</v>
      </c>
      <c r="L182" s="5" t="s">
        <v>25</v>
      </c>
      <c r="M182" s="7" t="b">
        <f t="shared" ca="1" si="13"/>
        <v>0</v>
      </c>
      <c r="N182" s="16" t="b">
        <f t="shared" ca="1" si="14"/>
        <v>0</v>
      </c>
    </row>
    <row r="183" spans="1:14" x14ac:dyDescent="0.35">
      <c r="A183" s="5">
        <v>182</v>
      </c>
      <c r="B183" s="12" t="s">
        <v>209</v>
      </c>
      <c r="C183" s="6">
        <v>44378</v>
      </c>
      <c r="D183" s="6" t="str">
        <f t="shared" si="10"/>
        <v>01</v>
      </c>
      <c r="E183" s="6" t="str">
        <f t="shared" si="11"/>
        <v>Jul</v>
      </c>
      <c r="F183" s="7" t="s">
        <v>8</v>
      </c>
      <c r="G183" s="7" t="s">
        <v>9</v>
      </c>
      <c r="H183" s="7" t="s">
        <v>10</v>
      </c>
      <c r="I183" s="8">
        <v>3</v>
      </c>
      <c r="J183" s="8">
        <v>190</v>
      </c>
      <c r="K183" s="8">
        <f t="shared" si="12"/>
        <v>570</v>
      </c>
      <c r="L183" s="5" t="s">
        <v>26</v>
      </c>
      <c r="M183" s="7" t="b">
        <f t="shared" ca="1" si="13"/>
        <v>0</v>
      </c>
      <c r="N183" s="16" t="b">
        <f t="shared" ca="1" si="14"/>
        <v>0</v>
      </c>
    </row>
    <row r="184" spans="1:14" x14ac:dyDescent="0.35">
      <c r="A184" s="5">
        <v>183</v>
      </c>
      <c r="B184" s="12" t="s">
        <v>210</v>
      </c>
      <c r="C184" s="6">
        <v>44379</v>
      </c>
      <c r="D184" s="6" t="str">
        <f t="shared" si="10"/>
        <v>02</v>
      </c>
      <c r="E184" s="6" t="str">
        <f t="shared" si="11"/>
        <v>Jul</v>
      </c>
      <c r="F184" s="7" t="s">
        <v>11</v>
      </c>
      <c r="G184" s="7" t="s">
        <v>12</v>
      </c>
      <c r="H184" s="7" t="s">
        <v>10</v>
      </c>
      <c r="I184" s="8">
        <v>3</v>
      </c>
      <c r="J184" s="8">
        <v>190</v>
      </c>
      <c r="K184" s="8">
        <f t="shared" si="12"/>
        <v>570</v>
      </c>
      <c r="L184" s="5" t="s">
        <v>25</v>
      </c>
      <c r="M184" s="7" t="b">
        <f t="shared" ca="1" si="13"/>
        <v>0</v>
      </c>
      <c r="N184" s="16" t="b">
        <f t="shared" ca="1" si="14"/>
        <v>0</v>
      </c>
    </row>
    <row r="185" spans="1:14" x14ac:dyDescent="0.35">
      <c r="A185" s="5">
        <v>184</v>
      </c>
      <c r="B185" s="12" t="s">
        <v>211</v>
      </c>
      <c r="C185" s="6">
        <v>44380</v>
      </c>
      <c r="D185" s="6" t="str">
        <f t="shared" si="10"/>
        <v>03</v>
      </c>
      <c r="E185" s="6" t="str">
        <f t="shared" si="11"/>
        <v>Jul</v>
      </c>
      <c r="F185" s="7" t="s">
        <v>14</v>
      </c>
      <c r="G185" s="7" t="s">
        <v>9</v>
      </c>
      <c r="H185" s="7" t="s">
        <v>15</v>
      </c>
      <c r="I185" s="8">
        <v>5</v>
      </c>
      <c r="J185" s="8">
        <v>1200</v>
      </c>
      <c r="K185" s="8">
        <f t="shared" si="12"/>
        <v>6000</v>
      </c>
      <c r="L185" s="5" t="s">
        <v>26</v>
      </c>
      <c r="M185" s="7" t="b">
        <f t="shared" ca="1" si="13"/>
        <v>0</v>
      </c>
      <c r="N185" s="16" t="b">
        <f t="shared" ca="1" si="14"/>
        <v>0</v>
      </c>
    </row>
    <row r="186" spans="1:14" x14ac:dyDescent="0.35">
      <c r="A186" s="5">
        <v>185</v>
      </c>
      <c r="B186" s="12" t="s">
        <v>212</v>
      </c>
      <c r="C186" s="6">
        <v>44381</v>
      </c>
      <c r="D186" s="6" t="str">
        <f t="shared" si="10"/>
        <v>04</v>
      </c>
      <c r="E186" s="6" t="str">
        <f t="shared" si="11"/>
        <v>Jul</v>
      </c>
      <c r="F186" s="7" t="s">
        <v>16</v>
      </c>
      <c r="G186" s="7" t="s">
        <v>12</v>
      </c>
      <c r="H186" s="7" t="s">
        <v>17</v>
      </c>
      <c r="I186" s="8">
        <v>4</v>
      </c>
      <c r="J186" s="8">
        <v>1500</v>
      </c>
      <c r="K186" s="8">
        <f t="shared" si="12"/>
        <v>6000</v>
      </c>
      <c r="L186" s="5" t="s">
        <v>25</v>
      </c>
      <c r="M186" s="7" t="b">
        <f t="shared" ca="1" si="13"/>
        <v>0</v>
      </c>
      <c r="N186" s="16" t="b">
        <f t="shared" ca="1" si="14"/>
        <v>0</v>
      </c>
    </row>
    <row r="187" spans="1:14" x14ac:dyDescent="0.35">
      <c r="A187" s="5">
        <v>186</v>
      </c>
      <c r="B187" s="12" t="s">
        <v>213</v>
      </c>
      <c r="C187" s="6">
        <v>44382</v>
      </c>
      <c r="D187" s="6" t="str">
        <f t="shared" si="10"/>
        <v>05</v>
      </c>
      <c r="E187" s="6" t="str">
        <f t="shared" si="11"/>
        <v>Jul</v>
      </c>
      <c r="F187" s="7" t="s">
        <v>18</v>
      </c>
      <c r="G187" s="7" t="s">
        <v>9</v>
      </c>
      <c r="H187" s="7" t="s">
        <v>19</v>
      </c>
      <c r="I187" s="8">
        <v>3</v>
      </c>
      <c r="J187" s="8">
        <v>300</v>
      </c>
      <c r="K187" s="8">
        <f t="shared" si="12"/>
        <v>900</v>
      </c>
      <c r="L187" s="5" t="s">
        <v>26</v>
      </c>
      <c r="M187" s="7" t="b">
        <f t="shared" ca="1" si="13"/>
        <v>0</v>
      </c>
      <c r="N187" s="16" t="b">
        <f t="shared" ca="1" si="14"/>
        <v>0</v>
      </c>
    </row>
    <row r="188" spans="1:14" x14ac:dyDescent="0.35">
      <c r="A188" s="5">
        <v>187</v>
      </c>
      <c r="B188" s="12" t="s">
        <v>214</v>
      </c>
      <c r="C188" s="6">
        <v>44383</v>
      </c>
      <c r="D188" s="6" t="str">
        <f t="shared" si="10"/>
        <v>06</v>
      </c>
      <c r="E188" s="6" t="str">
        <f t="shared" si="11"/>
        <v>Jul</v>
      </c>
      <c r="F188" s="7" t="s">
        <v>20</v>
      </c>
      <c r="G188" s="7" t="s">
        <v>9</v>
      </c>
      <c r="H188" s="7" t="s">
        <v>21</v>
      </c>
      <c r="I188" s="8">
        <v>2</v>
      </c>
      <c r="J188" s="8">
        <v>190</v>
      </c>
      <c r="K188" s="8">
        <f t="shared" si="12"/>
        <v>380</v>
      </c>
      <c r="L188" s="5" t="s">
        <v>25</v>
      </c>
      <c r="M188" s="7" t="b">
        <f t="shared" ca="1" si="13"/>
        <v>0</v>
      </c>
      <c r="N188" s="16" t="b">
        <f t="shared" ca="1" si="14"/>
        <v>0</v>
      </c>
    </row>
    <row r="189" spans="1:14" x14ac:dyDescent="0.35">
      <c r="A189" s="5">
        <v>188</v>
      </c>
      <c r="B189" s="12" t="s">
        <v>215</v>
      </c>
      <c r="C189" s="6">
        <v>44384</v>
      </c>
      <c r="D189" s="6" t="str">
        <f t="shared" si="10"/>
        <v>07</v>
      </c>
      <c r="E189" s="6" t="str">
        <f t="shared" si="11"/>
        <v>Jul</v>
      </c>
      <c r="F189" s="7" t="s">
        <v>20</v>
      </c>
      <c r="G189" s="7" t="s">
        <v>9</v>
      </c>
      <c r="H189" s="7" t="s">
        <v>10</v>
      </c>
      <c r="I189" s="8">
        <v>2</v>
      </c>
      <c r="J189" s="8">
        <v>210</v>
      </c>
      <c r="K189" s="8">
        <f t="shared" si="12"/>
        <v>420</v>
      </c>
      <c r="L189" s="5" t="s">
        <v>26</v>
      </c>
      <c r="M189" s="7" t="b">
        <f t="shared" ca="1" si="13"/>
        <v>0</v>
      </c>
      <c r="N189" s="16" t="b">
        <f t="shared" ca="1" si="14"/>
        <v>0</v>
      </c>
    </row>
    <row r="190" spans="1:14" x14ac:dyDescent="0.35">
      <c r="A190" s="5">
        <v>189</v>
      </c>
      <c r="B190" s="12" t="s">
        <v>216</v>
      </c>
      <c r="C190" s="6">
        <v>44385</v>
      </c>
      <c r="D190" s="6" t="str">
        <f t="shared" si="10"/>
        <v>08</v>
      </c>
      <c r="E190" s="6" t="str">
        <f t="shared" si="11"/>
        <v>Jul</v>
      </c>
      <c r="F190" s="7" t="s">
        <v>8</v>
      </c>
      <c r="G190" s="7" t="s">
        <v>9</v>
      </c>
      <c r="H190" s="7" t="s">
        <v>13</v>
      </c>
      <c r="I190" s="8">
        <v>7</v>
      </c>
      <c r="J190" s="8">
        <v>2100</v>
      </c>
      <c r="K190" s="8">
        <f t="shared" si="12"/>
        <v>14700</v>
      </c>
      <c r="L190" s="5" t="s">
        <v>25</v>
      </c>
      <c r="M190" s="7" t="b">
        <f t="shared" ca="1" si="13"/>
        <v>0</v>
      </c>
      <c r="N190" s="16" t="b">
        <f t="shared" ca="1" si="14"/>
        <v>0</v>
      </c>
    </row>
    <row r="191" spans="1:14" x14ac:dyDescent="0.35">
      <c r="A191" s="5">
        <v>190</v>
      </c>
      <c r="B191" s="12" t="s">
        <v>217</v>
      </c>
      <c r="C191" s="6">
        <v>44386</v>
      </c>
      <c r="D191" s="6" t="str">
        <f t="shared" si="10"/>
        <v>09</v>
      </c>
      <c r="E191" s="6" t="str">
        <f t="shared" si="11"/>
        <v>Jul</v>
      </c>
      <c r="F191" s="7" t="s">
        <v>8</v>
      </c>
      <c r="G191" s="7" t="s">
        <v>12</v>
      </c>
      <c r="H191" s="7" t="s">
        <v>15</v>
      </c>
      <c r="I191" s="8">
        <v>6</v>
      </c>
      <c r="J191" s="8">
        <v>1200</v>
      </c>
      <c r="K191" s="8">
        <f t="shared" si="12"/>
        <v>7200</v>
      </c>
      <c r="L191" s="5" t="s">
        <v>26</v>
      </c>
      <c r="M191" s="7" t="b">
        <f t="shared" ca="1" si="13"/>
        <v>0</v>
      </c>
      <c r="N191" s="16" t="b">
        <f t="shared" ca="1" si="14"/>
        <v>0</v>
      </c>
    </row>
    <row r="192" spans="1:14" x14ac:dyDescent="0.35">
      <c r="A192" s="5">
        <v>191</v>
      </c>
      <c r="B192" s="12" t="s">
        <v>218</v>
      </c>
      <c r="C192" s="6">
        <v>44387</v>
      </c>
      <c r="D192" s="6" t="str">
        <f t="shared" si="10"/>
        <v>10</v>
      </c>
      <c r="E192" s="6" t="str">
        <f t="shared" si="11"/>
        <v>Jul</v>
      </c>
      <c r="F192" s="7" t="s">
        <v>8</v>
      </c>
      <c r="G192" s="7" t="s">
        <v>22</v>
      </c>
      <c r="H192" s="7" t="s">
        <v>17</v>
      </c>
      <c r="I192" s="8">
        <v>5</v>
      </c>
      <c r="J192" s="8">
        <v>1500</v>
      </c>
      <c r="K192" s="8">
        <f t="shared" si="12"/>
        <v>7500</v>
      </c>
      <c r="L192" s="5" t="s">
        <v>25</v>
      </c>
      <c r="M192" s="7" t="b">
        <f t="shared" ca="1" si="13"/>
        <v>0</v>
      </c>
      <c r="N192" s="16" t="b">
        <f t="shared" ca="1" si="14"/>
        <v>0</v>
      </c>
    </row>
    <row r="193" spans="1:14" x14ac:dyDescent="0.35">
      <c r="A193" s="5">
        <v>192</v>
      </c>
      <c r="B193" s="12" t="s">
        <v>219</v>
      </c>
      <c r="C193" s="6">
        <v>44388</v>
      </c>
      <c r="D193" s="6" t="str">
        <f t="shared" si="10"/>
        <v>11</v>
      </c>
      <c r="E193" s="6" t="str">
        <f t="shared" si="11"/>
        <v>Jul</v>
      </c>
      <c r="F193" s="7" t="s">
        <v>8</v>
      </c>
      <c r="G193" s="7" t="s">
        <v>23</v>
      </c>
      <c r="H193" s="7" t="s">
        <v>19</v>
      </c>
      <c r="I193" s="8">
        <v>4</v>
      </c>
      <c r="J193" s="8">
        <v>300</v>
      </c>
      <c r="K193" s="8">
        <f t="shared" si="12"/>
        <v>1200</v>
      </c>
      <c r="L193" s="5" t="s">
        <v>26</v>
      </c>
      <c r="M193" s="7" t="b">
        <f t="shared" ca="1" si="13"/>
        <v>0</v>
      </c>
      <c r="N193" s="16" t="b">
        <f t="shared" ca="1" si="14"/>
        <v>0</v>
      </c>
    </row>
    <row r="194" spans="1:14" x14ac:dyDescent="0.35">
      <c r="A194" s="5">
        <v>193</v>
      </c>
      <c r="B194" s="12" t="s">
        <v>220</v>
      </c>
      <c r="C194" s="6">
        <v>44389</v>
      </c>
      <c r="D194" s="6" t="str">
        <f t="shared" si="10"/>
        <v>12</v>
      </c>
      <c r="E194" s="6" t="str">
        <f t="shared" si="11"/>
        <v>Jul</v>
      </c>
      <c r="F194" s="7" t="s">
        <v>8</v>
      </c>
      <c r="G194" s="7" t="s">
        <v>9</v>
      </c>
      <c r="H194" s="7" t="s">
        <v>21</v>
      </c>
      <c r="I194" s="8">
        <v>3</v>
      </c>
      <c r="J194" s="8">
        <v>190</v>
      </c>
      <c r="K194" s="8">
        <f t="shared" si="12"/>
        <v>570</v>
      </c>
      <c r="L194" s="5" t="s">
        <v>25</v>
      </c>
      <c r="M194" s="7" t="b">
        <f t="shared" ca="1" si="13"/>
        <v>0</v>
      </c>
      <c r="N194" s="16" t="b">
        <f t="shared" ca="1" si="14"/>
        <v>0</v>
      </c>
    </row>
    <row r="195" spans="1:14" x14ac:dyDescent="0.35">
      <c r="A195" s="5">
        <v>194</v>
      </c>
      <c r="B195" s="12" t="s">
        <v>221</v>
      </c>
      <c r="C195" s="6">
        <v>44390</v>
      </c>
      <c r="D195" s="6" t="str">
        <f t="shared" ref="D195:D258" si="15">TEXT(C195,"dd")</f>
        <v>13</v>
      </c>
      <c r="E195" s="6" t="str">
        <f t="shared" ref="E195:E258" si="16">TEXT(C195,"mmm")</f>
        <v>Jul</v>
      </c>
      <c r="F195" s="7" t="s">
        <v>8</v>
      </c>
      <c r="G195" s="7" t="s">
        <v>12</v>
      </c>
      <c r="H195" s="7" t="s">
        <v>10</v>
      </c>
      <c r="I195" s="8">
        <v>2</v>
      </c>
      <c r="J195" s="8">
        <v>210</v>
      </c>
      <c r="K195" s="8">
        <f t="shared" ref="K195:K258" si="17">I195*J195</f>
        <v>420</v>
      </c>
      <c r="L195" s="5" t="s">
        <v>26</v>
      </c>
      <c r="M195" s="7" t="b">
        <f t="shared" ref="M195:M258" ca="1" si="18">AND(A195&gt;=(TODAY()-28),A195&lt;TODAY())</f>
        <v>0</v>
      </c>
      <c r="N195" s="16" t="b">
        <f t="shared" ref="N195:N258" ca="1" si="19">AND(A195&gt;=(TODAY()-56),A195&lt;(TODAY()-28))</f>
        <v>0</v>
      </c>
    </row>
    <row r="196" spans="1:14" x14ac:dyDescent="0.35">
      <c r="A196" s="5">
        <v>195</v>
      </c>
      <c r="B196" s="12" t="s">
        <v>222</v>
      </c>
      <c r="C196" s="6">
        <v>44391</v>
      </c>
      <c r="D196" s="6" t="str">
        <f t="shared" si="15"/>
        <v>14</v>
      </c>
      <c r="E196" s="6" t="str">
        <f t="shared" si="16"/>
        <v>Jul</v>
      </c>
      <c r="F196" s="7" t="s">
        <v>8</v>
      </c>
      <c r="G196" s="7" t="s">
        <v>22</v>
      </c>
      <c r="H196" s="7" t="s">
        <v>15</v>
      </c>
      <c r="I196" s="8">
        <v>7</v>
      </c>
      <c r="J196" s="8">
        <v>2100</v>
      </c>
      <c r="K196" s="8">
        <f t="shared" si="17"/>
        <v>14700</v>
      </c>
      <c r="L196" s="5" t="s">
        <v>25</v>
      </c>
      <c r="M196" s="7" t="b">
        <f t="shared" ca="1" si="18"/>
        <v>0</v>
      </c>
      <c r="N196" s="16" t="b">
        <f t="shared" ca="1" si="19"/>
        <v>0</v>
      </c>
    </row>
    <row r="197" spans="1:14" x14ac:dyDescent="0.35">
      <c r="A197" s="5">
        <v>196</v>
      </c>
      <c r="B197" s="12" t="s">
        <v>223</v>
      </c>
      <c r="C197" s="6">
        <v>44392</v>
      </c>
      <c r="D197" s="6" t="str">
        <f t="shared" si="15"/>
        <v>15</v>
      </c>
      <c r="E197" s="6" t="str">
        <f t="shared" si="16"/>
        <v>Jul</v>
      </c>
      <c r="F197" s="7" t="s">
        <v>8</v>
      </c>
      <c r="G197" s="7" t="s">
        <v>23</v>
      </c>
      <c r="H197" s="7" t="s">
        <v>17</v>
      </c>
      <c r="I197" s="8">
        <v>6</v>
      </c>
      <c r="J197" s="8">
        <v>1200</v>
      </c>
      <c r="K197" s="8">
        <f t="shared" si="17"/>
        <v>7200</v>
      </c>
      <c r="L197" s="5" t="s">
        <v>26</v>
      </c>
      <c r="M197" s="7" t="b">
        <f t="shared" ca="1" si="18"/>
        <v>0</v>
      </c>
      <c r="N197" s="16" t="b">
        <f t="shared" ca="1" si="19"/>
        <v>0</v>
      </c>
    </row>
    <row r="198" spans="1:14" x14ac:dyDescent="0.35">
      <c r="A198" s="5">
        <v>197</v>
      </c>
      <c r="B198" s="12" t="s">
        <v>224</v>
      </c>
      <c r="C198" s="6">
        <v>44393</v>
      </c>
      <c r="D198" s="6" t="str">
        <f t="shared" si="15"/>
        <v>16</v>
      </c>
      <c r="E198" s="6" t="str">
        <f t="shared" si="16"/>
        <v>Jul</v>
      </c>
      <c r="F198" s="7" t="s">
        <v>11</v>
      </c>
      <c r="G198" s="7" t="s">
        <v>12</v>
      </c>
      <c r="H198" s="7" t="s">
        <v>19</v>
      </c>
      <c r="I198" s="8">
        <v>5</v>
      </c>
      <c r="J198" s="8">
        <v>300</v>
      </c>
      <c r="K198" s="8">
        <f t="shared" si="17"/>
        <v>1500</v>
      </c>
      <c r="L198" s="5" t="s">
        <v>25</v>
      </c>
      <c r="M198" s="7" t="b">
        <f t="shared" ca="1" si="18"/>
        <v>0</v>
      </c>
      <c r="N198" s="16" t="b">
        <f t="shared" ca="1" si="19"/>
        <v>0</v>
      </c>
    </row>
    <row r="199" spans="1:14" x14ac:dyDescent="0.35">
      <c r="A199" s="5">
        <v>198</v>
      </c>
      <c r="B199" s="12" t="s">
        <v>225</v>
      </c>
      <c r="C199" s="6">
        <v>44394</v>
      </c>
      <c r="D199" s="6" t="str">
        <f t="shared" si="15"/>
        <v>17</v>
      </c>
      <c r="E199" s="6" t="str">
        <f t="shared" si="16"/>
        <v>Jul</v>
      </c>
      <c r="F199" s="7" t="s">
        <v>11</v>
      </c>
      <c r="G199" s="7" t="s">
        <v>9</v>
      </c>
      <c r="H199" s="7" t="s">
        <v>21</v>
      </c>
      <c r="I199" s="8">
        <v>4</v>
      </c>
      <c r="J199" s="8">
        <v>200</v>
      </c>
      <c r="K199" s="8">
        <f t="shared" si="17"/>
        <v>800</v>
      </c>
      <c r="L199" s="5" t="s">
        <v>26</v>
      </c>
      <c r="M199" s="7" t="b">
        <f t="shared" ca="1" si="18"/>
        <v>0</v>
      </c>
      <c r="N199" s="16" t="b">
        <f t="shared" ca="1" si="19"/>
        <v>0</v>
      </c>
    </row>
    <row r="200" spans="1:14" x14ac:dyDescent="0.35">
      <c r="A200" s="5">
        <v>199</v>
      </c>
      <c r="B200" s="12" t="s">
        <v>226</v>
      </c>
      <c r="C200" s="6">
        <v>44395</v>
      </c>
      <c r="D200" s="6" t="str">
        <f t="shared" si="15"/>
        <v>18</v>
      </c>
      <c r="E200" s="6" t="str">
        <f t="shared" si="16"/>
        <v>Jul</v>
      </c>
      <c r="F200" s="7" t="s">
        <v>11</v>
      </c>
      <c r="G200" s="7" t="s">
        <v>22</v>
      </c>
      <c r="H200" s="7" t="s">
        <v>10</v>
      </c>
      <c r="I200" s="8">
        <v>3</v>
      </c>
      <c r="J200" s="8">
        <v>190</v>
      </c>
      <c r="K200" s="8">
        <f t="shared" si="17"/>
        <v>570</v>
      </c>
      <c r="L200" s="5" t="s">
        <v>25</v>
      </c>
      <c r="M200" s="7" t="b">
        <f t="shared" ca="1" si="18"/>
        <v>0</v>
      </c>
      <c r="N200" s="16" t="b">
        <f t="shared" ca="1" si="19"/>
        <v>0</v>
      </c>
    </row>
    <row r="201" spans="1:14" x14ac:dyDescent="0.35">
      <c r="A201" s="5">
        <v>200</v>
      </c>
      <c r="B201" s="12" t="s">
        <v>227</v>
      </c>
      <c r="C201" s="6">
        <v>44396</v>
      </c>
      <c r="D201" s="6" t="str">
        <f t="shared" si="15"/>
        <v>19</v>
      </c>
      <c r="E201" s="6" t="str">
        <f t="shared" si="16"/>
        <v>Jul</v>
      </c>
      <c r="F201" s="7" t="s">
        <v>11</v>
      </c>
      <c r="G201" s="7" t="s">
        <v>23</v>
      </c>
      <c r="H201" s="7" t="s">
        <v>13</v>
      </c>
      <c r="I201" s="8">
        <v>2</v>
      </c>
      <c r="J201" s="8">
        <v>2100</v>
      </c>
      <c r="K201" s="8">
        <f t="shared" si="17"/>
        <v>4200</v>
      </c>
      <c r="L201" s="5" t="s">
        <v>26</v>
      </c>
      <c r="M201" s="7" t="b">
        <f t="shared" ca="1" si="18"/>
        <v>0</v>
      </c>
      <c r="N201" s="16" t="b">
        <f t="shared" ca="1" si="19"/>
        <v>0</v>
      </c>
    </row>
    <row r="202" spans="1:14" x14ac:dyDescent="0.35">
      <c r="A202" s="5">
        <v>201</v>
      </c>
      <c r="B202" s="12" t="s">
        <v>228</v>
      </c>
      <c r="C202" s="6">
        <v>44397</v>
      </c>
      <c r="D202" s="6" t="str">
        <f t="shared" si="15"/>
        <v>20</v>
      </c>
      <c r="E202" s="6" t="str">
        <f t="shared" si="16"/>
        <v>Jul</v>
      </c>
      <c r="F202" s="7" t="s">
        <v>11</v>
      </c>
      <c r="G202" s="7" t="s">
        <v>12</v>
      </c>
      <c r="H202" s="7" t="s">
        <v>10</v>
      </c>
      <c r="I202" s="8">
        <v>7</v>
      </c>
      <c r="J202" s="8">
        <v>210</v>
      </c>
      <c r="K202" s="8">
        <f t="shared" si="17"/>
        <v>1470</v>
      </c>
      <c r="L202" s="5" t="s">
        <v>25</v>
      </c>
      <c r="M202" s="7" t="b">
        <f t="shared" ca="1" si="18"/>
        <v>0</v>
      </c>
      <c r="N202" s="16" t="b">
        <f t="shared" ca="1" si="19"/>
        <v>0</v>
      </c>
    </row>
    <row r="203" spans="1:14" x14ac:dyDescent="0.35">
      <c r="A203" s="5">
        <v>202</v>
      </c>
      <c r="B203" s="12" t="s">
        <v>229</v>
      </c>
      <c r="C203" s="6">
        <v>44398</v>
      </c>
      <c r="D203" s="6" t="str">
        <f t="shared" si="15"/>
        <v>21</v>
      </c>
      <c r="E203" s="6" t="str">
        <f t="shared" si="16"/>
        <v>Jul</v>
      </c>
      <c r="F203" s="7" t="s">
        <v>11</v>
      </c>
      <c r="G203" s="7" t="s">
        <v>9</v>
      </c>
      <c r="H203" s="7" t="s">
        <v>13</v>
      </c>
      <c r="I203" s="8">
        <v>6</v>
      </c>
      <c r="J203" s="8">
        <v>2100</v>
      </c>
      <c r="K203" s="8">
        <f t="shared" si="17"/>
        <v>12600</v>
      </c>
      <c r="L203" s="5" t="s">
        <v>26</v>
      </c>
      <c r="M203" s="7" t="b">
        <f t="shared" ca="1" si="18"/>
        <v>0</v>
      </c>
      <c r="N203" s="16" t="b">
        <f t="shared" ca="1" si="19"/>
        <v>0</v>
      </c>
    </row>
    <row r="204" spans="1:14" x14ac:dyDescent="0.35">
      <c r="A204" s="5">
        <v>203</v>
      </c>
      <c r="B204" s="12" t="s">
        <v>230</v>
      </c>
      <c r="C204" s="6">
        <v>44399</v>
      </c>
      <c r="D204" s="6" t="str">
        <f t="shared" si="15"/>
        <v>22</v>
      </c>
      <c r="E204" s="6" t="str">
        <f t="shared" si="16"/>
        <v>Jul</v>
      </c>
      <c r="F204" s="7" t="s">
        <v>11</v>
      </c>
      <c r="G204" s="7" t="s">
        <v>22</v>
      </c>
      <c r="H204" s="7" t="s">
        <v>15</v>
      </c>
      <c r="I204" s="8">
        <v>5</v>
      </c>
      <c r="J204" s="8">
        <v>1200</v>
      </c>
      <c r="K204" s="8">
        <f t="shared" si="17"/>
        <v>6000</v>
      </c>
      <c r="L204" s="5" t="s">
        <v>25</v>
      </c>
      <c r="M204" s="7" t="b">
        <f t="shared" ca="1" si="18"/>
        <v>0</v>
      </c>
      <c r="N204" s="16" t="b">
        <f t="shared" ca="1" si="19"/>
        <v>0</v>
      </c>
    </row>
    <row r="205" spans="1:14" x14ac:dyDescent="0.35">
      <c r="A205" s="5">
        <v>204</v>
      </c>
      <c r="B205" s="12" t="s">
        <v>231</v>
      </c>
      <c r="C205" s="6">
        <v>44400</v>
      </c>
      <c r="D205" s="6" t="str">
        <f t="shared" si="15"/>
        <v>23</v>
      </c>
      <c r="E205" s="6" t="str">
        <f t="shared" si="16"/>
        <v>Jul</v>
      </c>
      <c r="F205" s="7" t="s">
        <v>11</v>
      </c>
      <c r="G205" s="7" t="s">
        <v>23</v>
      </c>
      <c r="H205" s="7" t="s">
        <v>17</v>
      </c>
      <c r="I205" s="8">
        <v>4</v>
      </c>
      <c r="J205" s="8">
        <v>1500</v>
      </c>
      <c r="K205" s="8">
        <f t="shared" si="17"/>
        <v>6000</v>
      </c>
      <c r="L205" s="5" t="s">
        <v>26</v>
      </c>
      <c r="M205" s="7" t="b">
        <f t="shared" ca="1" si="18"/>
        <v>0</v>
      </c>
      <c r="N205" s="16" t="b">
        <f t="shared" ca="1" si="19"/>
        <v>0</v>
      </c>
    </row>
    <row r="206" spans="1:14" x14ac:dyDescent="0.35">
      <c r="A206" s="5">
        <v>205</v>
      </c>
      <c r="B206" s="12" t="s">
        <v>232</v>
      </c>
      <c r="C206" s="6">
        <v>44401</v>
      </c>
      <c r="D206" s="6" t="str">
        <f t="shared" si="15"/>
        <v>24</v>
      </c>
      <c r="E206" s="6" t="str">
        <f t="shared" si="16"/>
        <v>Jul</v>
      </c>
      <c r="F206" s="7" t="s">
        <v>14</v>
      </c>
      <c r="G206" s="7" t="s">
        <v>23</v>
      </c>
      <c r="H206" s="7" t="s">
        <v>19</v>
      </c>
      <c r="I206" s="8">
        <v>3</v>
      </c>
      <c r="J206" s="8">
        <v>300</v>
      </c>
      <c r="K206" s="8">
        <f t="shared" si="17"/>
        <v>900</v>
      </c>
      <c r="L206" s="5" t="s">
        <v>25</v>
      </c>
      <c r="M206" s="7" t="b">
        <f t="shared" ca="1" si="18"/>
        <v>0</v>
      </c>
      <c r="N206" s="16" t="b">
        <f t="shared" ca="1" si="19"/>
        <v>0</v>
      </c>
    </row>
    <row r="207" spans="1:14" x14ac:dyDescent="0.35">
      <c r="A207" s="5">
        <v>206</v>
      </c>
      <c r="B207" s="12" t="s">
        <v>233</v>
      </c>
      <c r="C207" s="6">
        <v>44402</v>
      </c>
      <c r="D207" s="6" t="str">
        <f t="shared" si="15"/>
        <v>25</v>
      </c>
      <c r="E207" s="6" t="str">
        <f t="shared" si="16"/>
        <v>Jul</v>
      </c>
      <c r="F207" s="7" t="s">
        <v>16</v>
      </c>
      <c r="G207" s="7" t="s">
        <v>23</v>
      </c>
      <c r="H207" s="7" t="s">
        <v>21</v>
      </c>
      <c r="I207" s="8">
        <v>2</v>
      </c>
      <c r="J207" s="8">
        <v>190</v>
      </c>
      <c r="K207" s="8">
        <f t="shared" si="17"/>
        <v>380</v>
      </c>
      <c r="L207" s="5" t="s">
        <v>26</v>
      </c>
      <c r="M207" s="7" t="b">
        <f t="shared" ca="1" si="18"/>
        <v>0</v>
      </c>
      <c r="N207" s="16" t="b">
        <f t="shared" ca="1" si="19"/>
        <v>0</v>
      </c>
    </row>
    <row r="208" spans="1:14" x14ac:dyDescent="0.35">
      <c r="A208" s="5">
        <v>207</v>
      </c>
      <c r="B208" s="12" t="s">
        <v>234</v>
      </c>
      <c r="C208" s="6">
        <v>44403</v>
      </c>
      <c r="D208" s="6" t="str">
        <f t="shared" si="15"/>
        <v>26</v>
      </c>
      <c r="E208" s="6" t="str">
        <f t="shared" si="16"/>
        <v>Jul</v>
      </c>
      <c r="F208" s="7" t="s">
        <v>18</v>
      </c>
      <c r="G208" s="7" t="s">
        <v>23</v>
      </c>
      <c r="H208" s="7" t="s">
        <v>10</v>
      </c>
      <c r="I208" s="8">
        <v>7</v>
      </c>
      <c r="J208" s="8">
        <v>210</v>
      </c>
      <c r="K208" s="8">
        <f t="shared" si="17"/>
        <v>1470</v>
      </c>
      <c r="L208" s="5" t="s">
        <v>25</v>
      </c>
      <c r="M208" s="7" t="b">
        <f t="shared" ca="1" si="18"/>
        <v>0</v>
      </c>
      <c r="N208" s="16" t="b">
        <f t="shared" ca="1" si="19"/>
        <v>0</v>
      </c>
    </row>
    <row r="209" spans="1:14" x14ac:dyDescent="0.35">
      <c r="A209" s="5">
        <v>208</v>
      </c>
      <c r="B209" s="12" t="s">
        <v>235</v>
      </c>
      <c r="C209" s="6">
        <v>44404</v>
      </c>
      <c r="D209" s="6" t="str">
        <f t="shared" si="15"/>
        <v>27</v>
      </c>
      <c r="E209" s="6" t="str">
        <f t="shared" si="16"/>
        <v>Jul</v>
      </c>
      <c r="F209" s="7" t="s">
        <v>20</v>
      </c>
      <c r="G209" s="7" t="s">
        <v>23</v>
      </c>
      <c r="H209" s="7" t="s">
        <v>13</v>
      </c>
      <c r="I209" s="8">
        <v>6</v>
      </c>
      <c r="J209" s="8">
        <v>2100</v>
      </c>
      <c r="K209" s="8">
        <f t="shared" si="17"/>
        <v>12600</v>
      </c>
      <c r="L209" s="5" t="s">
        <v>26</v>
      </c>
      <c r="M209" s="7" t="b">
        <f t="shared" ca="1" si="18"/>
        <v>0</v>
      </c>
      <c r="N209" s="16" t="b">
        <f t="shared" ca="1" si="19"/>
        <v>0</v>
      </c>
    </row>
    <row r="210" spans="1:14" x14ac:dyDescent="0.35">
      <c r="A210" s="5">
        <v>209</v>
      </c>
      <c r="B210" s="12" t="s">
        <v>236</v>
      </c>
      <c r="C210" s="6">
        <v>44405</v>
      </c>
      <c r="D210" s="6" t="str">
        <f t="shared" si="15"/>
        <v>28</v>
      </c>
      <c r="E210" s="6" t="str">
        <f t="shared" si="16"/>
        <v>Jul</v>
      </c>
      <c r="F210" s="7" t="s">
        <v>20</v>
      </c>
      <c r="G210" s="7" t="s">
        <v>9</v>
      </c>
      <c r="H210" s="7" t="s">
        <v>15</v>
      </c>
      <c r="I210" s="8">
        <v>5</v>
      </c>
      <c r="J210" s="8">
        <v>1200</v>
      </c>
      <c r="K210" s="8">
        <f t="shared" si="17"/>
        <v>6000</v>
      </c>
      <c r="L210" s="5" t="s">
        <v>25</v>
      </c>
      <c r="M210" s="7" t="b">
        <f t="shared" ca="1" si="18"/>
        <v>0</v>
      </c>
      <c r="N210" s="16" t="b">
        <f t="shared" ca="1" si="19"/>
        <v>0</v>
      </c>
    </row>
    <row r="211" spans="1:14" x14ac:dyDescent="0.35">
      <c r="A211" s="5">
        <v>210</v>
      </c>
      <c r="B211" s="12" t="s">
        <v>237</v>
      </c>
      <c r="C211" s="6">
        <v>44406</v>
      </c>
      <c r="D211" s="6" t="str">
        <f t="shared" si="15"/>
        <v>29</v>
      </c>
      <c r="E211" s="6" t="str">
        <f t="shared" si="16"/>
        <v>Jul</v>
      </c>
      <c r="F211" s="7" t="s">
        <v>20</v>
      </c>
      <c r="G211" s="7" t="s">
        <v>12</v>
      </c>
      <c r="H211" s="7" t="s">
        <v>17</v>
      </c>
      <c r="I211" s="8">
        <v>4</v>
      </c>
      <c r="J211" s="8">
        <v>1500</v>
      </c>
      <c r="K211" s="8">
        <f t="shared" si="17"/>
        <v>6000</v>
      </c>
      <c r="L211" s="5" t="s">
        <v>26</v>
      </c>
      <c r="M211" s="7" t="b">
        <f t="shared" ca="1" si="18"/>
        <v>0</v>
      </c>
      <c r="N211" s="16" t="b">
        <f t="shared" ca="1" si="19"/>
        <v>0</v>
      </c>
    </row>
    <row r="212" spans="1:14" x14ac:dyDescent="0.35">
      <c r="A212" s="5">
        <v>211</v>
      </c>
      <c r="B212" s="12" t="s">
        <v>238</v>
      </c>
      <c r="C212" s="6">
        <v>44407</v>
      </c>
      <c r="D212" s="6" t="str">
        <f t="shared" si="15"/>
        <v>30</v>
      </c>
      <c r="E212" s="6" t="str">
        <f t="shared" si="16"/>
        <v>Jul</v>
      </c>
      <c r="F212" s="7" t="s">
        <v>20</v>
      </c>
      <c r="G212" s="7" t="s">
        <v>22</v>
      </c>
      <c r="H212" s="7" t="s">
        <v>19</v>
      </c>
      <c r="I212" s="8">
        <v>3</v>
      </c>
      <c r="J212" s="8">
        <v>300</v>
      </c>
      <c r="K212" s="8">
        <f t="shared" si="17"/>
        <v>900</v>
      </c>
      <c r="L212" s="5" t="s">
        <v>25</v>
      </c>
      <c r="M212" s="7" t="b">
        <f t="shared" ca="1" si="18"/>
        <v>0</v>
      </c>
      <c r="N212" s="16" t="b">
        <f t="shared" ca="1" si="19"/>
        <v>0</v>
      </c>
    </row>
    <row r="213" spans="1:14" x14ac:dyDescent="0.35">
      <c r="A213" s="5">
        <v>212</v>
      </c>
      <c r="B213" s="12" t="s">
        <v>239</v>
      </c>
      <c r="C213" s="6">
        <v>44408</v>
      </c>
      <c r="D213" s="6" t="str">
        <f t="shared" si="15"/>
        <v>31</v>
      </c>
      <c r="E213" s="6" t="str">
        <f t="shared" si="16"/>
        <v>Jul</v>
      </c>
      <c r="F213" s="7" t="s">
        <v>20</v>
      </c>
      <c r="G213" s="7" t="s">
        <v>23</v>
      </c>
      <c r="H213" s="7" t="s">
        <v>21</v>
      </c>
      <c r="I213" s="8">
        <v>2</v>
      </c>
      <c r="J213" s="8">
        <v>190</v>
      </c>
      <c r="K213" s="8">
        <f t="shared" si="17"/>
        <v>380</v>
      </c>
      <c r="L213" s="5" t="s">
        <v>26</v>
      </c>
      <c r="M213" s="7" t="b">
        <f t="shared" ca="1" si="18"/>
        <v>0</v>
      </c>
      <c r="N213" s="16" t="b">
        <f t="shared" ca="1" si="19"/>
        <v>0</v>
      </c>
    </row>
    <row r="214" spans="1:14" x14ac:dyDescent="0.35">
      <c r="A214" s="5">
        <v>213</v>
      </c>
      <c r="B214" s="12" t="s">
        <v>240</v>
      </c>
      <c r="C214" s="6">
        <v>44409</v>
      </c>
      <c r="D214" s="6" t="str">
        <f t="shared" si="15"/>
        <v>01</v>
      </c>
      <c r="E214" s="6" t="str">
        <f t="shared" si="16"/>
        <v>Aug</v>
      </c>
      <c r="F214" s="7" t="s">
        <v>20</v>
      </c>
      <c r="G214" s="7" t="s">
        <v>9</v>
      </c>
      <c r="H214" s="7" t="s">
        <v>10</v>
      </c>
      <c r="I214" s="8">
        <v>2</v>
      </c>
      <c r="J214" s="8">
        <v>210</v>
      </c>
      <c r="K214" s="8">
        <f t="shared" si="17"/>
        <v>420</v>
      </c>
      <c r="L214" s="5" t="s">
        <v>25</v>
      </c>
      <c r="M214" s="7" t="b">
        <f t="shared" ca="1" si="18"/>
        <v>0</v>
      </c>
      <c r="N214" s="16" t="b">
        <f t="shared" ca="1" si="19"/>
        <v>0</v>
      </c>
    </row>
    <row r="215" spans="1:14" x14ac:dyDescent="0.35">
      <c r="A215" s="5">
        <v>214</v>
      </c>
      <c r="B215" s="12" t="s">
        <v>241</v>
      </c>
      <c r="C215" s="6">
        <v>44410</v>
      </c>
      <c r="D215" s="6" t="str">
        <f t="shared" si="15"/>
        <v>02</v>
      </c>
      <c r="E215" s="6" t="str">
        <f t="shared" si="16"/>
        <v>Aug</v>
      </c>
      <c r="F215" s="7" t="s">
        <v>20</v>
      </c>
      <c r="G215" s="7" t="s">
        <v>12</v>
      </c>
      <c r="H215" s="7" t="s">
        <v>13</v>
      </c>
      <c r="I215" s="8">
        <v>7</v>
      </c>
      <c r="J215" s="8">
        <v>2100</v>
      </c>
      <c r="K215" s="8">
        <f t="shared" si="17"/>
        <v>14700</v>
      </c>
      <c r="L215" s="5" t="s">
        <v>26</v>
      </c>
      <c r="M215" s="7" t="b">
        <f t="shared" ca="1" si="18"/>
        <v>0</v>
      </c>
      <c r="N215" s="16" t="b">
        <f t="shared" ca="1" si="19"/>
        <v>0</v>
      </c>
    </row>
    <row r="216" spans="1:14" x14ac:dyDescent="0.35">
      <c r="A216" s="5">
        <v>215</v>
      </c>
      <c r="B216" s="12" t="s">
        <v>242</v>
      </c>
      <c r="C216" s="6">
        <v>44411</v>
      </c>
      <c r="D216" s="6" t="str">
        <f t="shared" si="15"/>
        <v>03</v>
      </c>
      <c r="E216" s="6" t="str">
        <f t="shared" si="16"/>
        <v>Aug</v>
      </c>
      <c r="F216" s="7" t="s">
        <v>20</v>
      </c>
      <c r="G216" s="7" t="s">
        <v>22</v>
      </c>
      <c r="H216" s="7" t="s">
        <v>15</v>
      </c>
      <c r="I216" s="8">
        <v>6</v>
      </c>
      <c r="J216" s="8">
        <v>1200</v>
      </c>
      <c r="K216" s="8">
        <f t="shared" si="17"/>
        <v>7200</v>
      </c>
      <c r="L216" s="5" t="s">
        <v>25</v>
      </c>
      <c r="M216" s="7" t="b">
        <f t="shared" ca="1" si="18"/>
        <v>0</v>
      </c>
      <c r="N216" s="16" t="b">
        <f t="shared" ca="1" si="19"/>
        <v>0</v>
      </c>
    </row>
    <row r="217" spans="1:14" x14ac:dyDescent="0.35">
      <c r="A217" s="5">
        <v>216</v>
      </c>
      <c r="B217" s="12" t="s">
        <v>243</v>
      </c>
      <c r="C217" s="6">
        <v>44412</v>
      </c>
      <c r="D217" s="6" t="str">
        <f t="shared" si="15"/>
        <v>04</v>
      </c>
      <c r="E217" s="6" t="str">
        <f t="shared" si="16"/>
        <v>Aug</v>
      </c>
      <c r="F217" s="7" t="s">
        <v>20</v>
      </c>
      <c r="G217" s="7" t="s">
        <v>23</v>
      </c>
      <c r="H217" s="7" t="s">
        <v>17</v>
      </c>
      <c r="I217" s="8">
        <v>5</v>
      </c>
      <c r="J217" s="8">
        <v>1500</v>
      </c>
      <c r="K217" s="8">
        <f t="shared" si="17"/>
        <v>7500</v>
      </c>
      <c r="L217" s="5" t="s">
        <v>26</v>
      </c>
      <c r="M217" s="7" t="b">
        <f t="shared" ca="1" si="18"/>
        <v>0</v>
      </c>
      <c r="N217" s="16" t="b">
        <f t="shared" ca="1" si="19"/>
        <v>0</v>
      </c>
    </row>
    <row r="218" spans="1:14" x14ac:dyDescent="0.35">
      <c r="A218" s="5">
        <v>217</v>
      </c>
      <c r="B218" s="12" t="s">
        <v>244</v>
      </c>
      <c r="C218" s="6">
        <v>44413</v>
      </c>
      <c r="D218" s="6" t="str">
        <f t="shared" si="15"/>
        <v>05</v>
      </c>
      <c r="E218" s="6" t="str">
        <f t="shared" si="16"/>
        <v>Aug</v>
      </c>
      <c r="F218" s="7" t="s">
        <v>8</v>
      </c>
      <c r="G218" s="7" t="s">
        <v>9</v>
      </c>
      <c r="H218" s="7" t="s">
        <v>19</v>
      </c>
      <c r="I218" s="8">
        <v>4</v>
      </c>
      <c r="J218" s="8">
        <v>300</v>
      </c>
      <c r="K218" s="8">
        <f t="shared" si="17"/>
        <v>1200</v>
      </c>
      <c r="L218" s="5" t="s">
        <v>25</v>
      </c>
      <c r="M218" s="7" t="b">
        <f t="shared" ca="1" si="18"/>
        <v>0</v>
      </c>
      <c r="N218" s="16" t="b">
        <f t="shared" ca="1" si="19"/>
        <v>0</v>
      </c>
    </row>
    <row r="219" spans="1:14" x14ac:dyDescent="0.35">
      <c r="A219" s="5">
        <v>218</v>
      </c>
      <c r="B219" s="12" t="s">
        <v>245</v>
      </c>
      <c r="C219" s="6">
        <v>44414</v>
      </c>
      <c r="D219" s="6" t="str">
        <f t="shared" si="15"/>
        <v>06</v>
      </c>
      <c r="E219" s="6" t="str">
        <f t="shared" si="16"/>
        <v>Aug</v>
      </c>
      <c r="F219" s="7" t="s">
        <v>11</v>
      </c>
      <c r="G219" s="7" t="s">
        <v>12</v>
      </c>
      <c r="H219" s="7" t="s">
        <v>21</v>
      </c>
      <c r="I219" s="8">
        <v>3</v>
      </c>
      <c r="J219" s="8">
        <v>190</v>
      </c>
      <c r="K219" s="8">
        <f t="shared" si="17"/>
        <v>570</v>
      </c>
      <c r="L219" s="5" t="s">
        <v>26</v>
      </c>
      <c r="M219" s="7" t="b">
        <f t="shared" ca="1" si="18"/>
        <v>0</v>
      </c>
      <c r="N219" s="16" t="b">
        <f t="shared" ca="1" si="19"/>
        <v>0</v>
      </c>
    </row>
    <row r="220" spans="1:14" x14ac:dyDescent="0.35">
      <c r="A220" s="5">
        <v>219</v>
      </c>
      <c r="B220" s="12" t="s">
        <v>246</v>
      </c>
      <c r="C220" s="6">
        <v>44415</v>
      </c>
      <c r="D220" s="6" t="str">
        <f t="shared" si="15"/>
        <v>07</v>
      </c>
      <c r="E220" s="6" t="str">
        <f t="shared" si="16"/>
        <v>Aug</v>
      </c>
      <c r="F220" s="7" t="s">
        <v>14</v>
      </c>
      <c r="G220" s="7" t="s">
        <v>9</v>
      </c>
      <c r="H220" s="7" t="s">
        <v>10</v>
      </c>
      <c r="I220" s="8">
        <v>2</v>
      </c>
      <c r="J220" s="8">
        <v>210</v>
      </c>
      <c r="K220" s="8">
        <f t="shared" si="17"/>
        <v>420</v>
      </c>
      <c r="L220" s="5" t="s">
        <v>25</v>
      </c>
      <c r="M220" s="7" t="b">
        <f t="shared" ca="1" si="18"/>
        <v>0</v>
      </c>
      <c r="N220" s="16" t="b">
        <f t="shared" ca="1" si="19"/>
        <v>0</v>
      </c>
    </row>
    <row r="221" spans="1:14" x14ac:dyDescent="0.35">
      <c r="A221" s="5">
        <v>220</v>
      </c>
      <c r="B221" s="12" t="s">
        <v>247</v>
      </c>
      <c r="C221" s="6">
        <v>44416</v>
      </c>
      <c r="D221" s="6" t="str">
        <f t="shared" si="15"/>
        <v>08</v>
      </c>
      <c r="E221" s="6" t="str">
        <f t="shared" si="16"/>
        <v>Aug</v>
      </c>
      <c r="F221" s="7" t="s">
        <v>16</v>
      </c>
      <c r="G221" s="7" t="s">
        <v>12</v>
      </c>
      <c r="H221" s="7" t="s">
        <v>15</v>
      </c>
      <c r="I221" s="8">
        <v>7</v>
      </c>
      <c r="J221" s="8">
        <v>2100</v>
      </c>
      <c r="K221" s="8">
        <f t="shared" si="17"/>
        <v>14700</v>
      </c>
      <c r="L221" s="5" t="s">
        <v>26</v>
      </c>
      <c r="M221" s="7" t="b">
        <f t="shared" ca="1" si="18"/>
        <v>0</v>
      </c>
      <c r="N221" s="16" t="b">
        <f t="shared" ca="1" si="19"/>
        <v>0</v>
      </c>
    </row>
    <row r="222" spans="1:14" x14ac:dyDescent="0.35">
      <c r="A222" s="5">
        <v>221</v>
      </c>
      <c r="B222" s="12" t="s">
        <v>248</v>
      </c>
      <c r="C222" s="6">
        <v>44417</v>
      </c>
      <c r="D222" s="6" t="str">
        <f t="shared" si="15"/>
        <v>09</v>
      </c>
      <c r="E222" s="6" t="str">
        <f t="shared" si="16"/>
        <v>Aug</v>
      </c>
      <c r="F222" s="7" t="s">
        <v>18</v>
      </c>
      <c r="G222" s="7" t="s">
        <v>9</v>
      </c>
      <c r="H222" s="7" t="s">
        <v>17</v>
      </c>
      <c r="I222" s="8">
        <v>6</v>
      </c>
      <c r="J222" s="8">
        <v>1200</v>
      </c>
      <c r="K222" s="8">
        <f t="shared" si="17"/>
        <v>7200</v>
      </c>
      <c r="L222" s="5" t="s">
        <v>25</v>
      </c>
      <c r="M222" s="7" t="b">
        <f t="shared" ca="1" si="18"/>
        <v>0</v>
      </c>
      <c r="N222" s="16" t="b">
        <f t="shared" ca="1" si="19"/>
        <v>0</v>
      </c>
    </row>
    <row r="223" spans="1:14" x14ac:dyDescent="0.35">
      <c r="A223" s="5">
        <v>222</v>
      </c>
      <c r="B223" s="12" t="s">
        <v>249</v>
      </c>
      <c r="C223" s="6">
        <v>44418</v>
      </c>
      <c r="D223" s="6" t="str">
        <f t="shared" si="15"/>
        <v>10</v>
      </c>
      <c r="E223" s="6" t="str">
        <f t="shared" si="16"/>
        <v>Aug</v>
      </c>
      <c r="F223" s="7" t="s">
        <v>20</v>
      </c>
      <c r="G223" s="7" t="s">
        <v>9</v>
      </c>
      <c r="H223" s="7" t="s">
        <v>19</v>
      </c>
      <c r="I223" s="8">
        <v>5</v>
      </c>
      <c r="J223" s="8">
        <v>300</v>
      </c>
      <c r="K223" s="8">
        <f t="shared" si="17"/>
        <v>1500</v>
      </c>
      <c r="L223" s="5" t="s">
        <v>26</v>
      </c>
      <c r="M223" s="7" t="b">
        <f t="shared" ca="1" si="18"/>
        <v>0</v>
      </c>
      <c r="N223" s="16" t="b">
        <f t="shared" ca="1" si="19"/>
        <v>0</v>
      </c>
    </row>
    <row r="224" spans="1:14" x14ac:dyDescent="0.35">
      <c r="A224" s="5">
        <v>223</v>
      </c>
      <c r="B224" s="12" t="s">
        <v>250</v>
      </c>
      <c r="C224" s="6">
        <v>44419</v>
      </c>
      <c r="D224" s="6" t="str">
        <f t="shared" si="15"/>
        <v>11</v>
      </c>
      <c r="E224" s="6" t="str">
        <f t="shared" si="16"/>
        <v>Aug</v>
      </c>
      <c r="F224" s="7" t="s">
        <v>8</v>
      </c>
      <c r="G224" s="7" t="s">
        <v>9</v>
      </c>
      <c r="H224" s="7" t="s">
        <v>21</v>
      </c>
      <c r="I224" s="8">
        <v>4</v>
      </c>
      <c r="J224" s="8">
        <v>200</v>
      </c>
      <c r="K224" s="8">
        <f t="shared" si="17"/>
        <v>800</v>
      </c>
      <c r="L224" s="5" t="s">
        <v>25</v>
      </c>
      <c r="M224" s="7" t="b">
        <f t="shared" ca="1" si="18"/>
        <v>0</v>
      </c>
      <c r="N224" s="16" t="b">
        <f t="shared" ca="1" si="19"/>
        <v>0</v>
      </c>
    </row>
    <row r="225" spans="1:14" x14ac:dyDescent="0.35">
      <c r="A225" s="5">
        <v>224</v>
      </c>
      <c r="B225" s="12" t="s">
        <v>251</v>
      </c>
      <c r="C225" s="6">
        <v>44420</v>
      </c>
      <c r="D225" s="6" t="str">
        <f t="shared" si="15"/>
        <v>12</v>
      </c>
      <c r="E225" s="6" t="str">
        <f t="shared" si="16"/>
        <v>Aug</v>
      </c>
      <c r="F225" s="7" t="s">
        <v>11</v>
      </c>
      <c r="G225" s="7" t="s">
        <v>12</v>
      </c>
      <c r="H225" s="7" t="s">
        <v>10</v>
      </c>
      <c r="I225" s="8">
        <v>3</v>
      </c>
      <c r="J225" s="8">
        <v>190</v>
      </c>
      <c r="K225" s="8">
        <f t="shared" si="17"/>
        <v>570</v>
      </c>
      <c r="L225" s="5" t="s">
        <v>26</v>
      </c>
      <c r="M225" s="7" t="b">
        <f t="shared" ca="1" si="18"/>
        <v>0</v>
      </c>
      <c r="N225" s="16" t="b">
        <f t="shared" ca="1" si="19"/>
        <v>0</v>
      </c>
    </row>
    <row r="226" spans="1:14" x14ac:dyDescent="0.35">
      <c r="A226" s="5">
        <v>225</v>
      </c>
      <c r="B226" s="12" t="s">
        <v>252</v>
      </c>
      <c r="C226" s="6">
        <v>44421</v>
      </c>
      <c r="D226" s="6" t="str">
        <f t="shared" si="15"/>
        <v>13</v>
      </c>
      <c r="E226" s="6" t="str">
        <f t="shared" si="16"/>
        <v>Aug</v>
      </c>
      <c r="F226" s="7" t="s">
        <v>14</v>
      </c>
      <c r="G226" s="7" t="s">
        <v>12</v>
      </c>
      <c r="H226" s="7" t="s">
        <v>13</v>
      </c>
      <c r="I226" s="8">
        <v>2</v>
      </c>
      <c r="J226" s="8">
        <v>2100</v>
      </c>
      <c r="K226" s="8">
        <f t="shared" si="17"/>
        <v>4200</v>
      </c>
      <c r="L226" s="5" t="s">
        <v>25</v>
      </c>
      <c r="M226" s="7" t="b">
        <f t="shared" ca="1" si="18"/>
        <v>0</v>
      </c>
      <c r="N226" s="16" t="b">
        <f t="shared" ca="1" si="19"/>
        <v>0</v>
      </c>
    </row>
    <row r="227" spans="1:14" x14ac:dyDescent="0.35">
      <c r="A227" s="5">
        <v>226</v>
      </c>
      <c r="B227" s="12" t="s">
        <v>253</v>
      </c>
      <c r="C227" s="6">
        <v>44422</v>
      </c>
      <c r="D227" s="6" t="str">
        <f t="shared" si="15"/>
        <v>14</v>
      </c>
      <c r="E227" s="6" t="str">
        <f t="shared" si="16"/>
        <v>Aug</v>
      </c>
      <c r="F227" s="7" t="s">
        <v>16</v>
      </c>
      <c r="G227" s="7" t="s">
        <v>9</v>
      </c>
      <c r="H227" s="7" t="s">
        <v>10</v>
      </c>
      <c r="I227" s="8">
        <v>7</v>
      </c>
      <c r="J227" s="8">
        <v>210</v>
      </c>
      <c r="K227" s="8">
        <f t="shared" si="17"/>
        <v>1470</v>
      </c>
      <c r="L227" s="5" t="s">
        <v>26</v>
      </c>
      <c r="M227" s="7" t="b">
        <f t="shared" ca="1" si="18"/>
        <v>0</v>
      </c>
      <c r="N227" s="16" t="b">
        <f t="shared" ca="1" si="19"/>
        <v>0</v>
      </c>
    </row>
    <row r="228" spans="1:14" x14ac:dyDescent="0.35">
      <c r="A228" s="5">
        <v>227</v>
      </c>
      <c r="B228" s="12" t="s">
        <v>254</v>
      </c>
      <c r="C228" s="6">
        <v>44423</v>
      </c>
      <c r="D228" s="6" t="str">
        <f t="shared" si="15"/>
        <v>15</v>
      </c>
      <c r="E228" s="6" t="str">
        <f t="shared" si="16"/>
        <v>Aug</v>
      </c>
      <c r="F228" s="7" t="s">
        <v>18</v>
      </c>
      <c r="G228" s="7" t="s">
        <v>9</v>
      </c>
      <c r="H228" s="7" t="s">
        <v>13</v>
      </c>
      <c r="I228" s="8">
        <v>6</v>
      </c>
      <c r="J228" s="8">
        <v>2100</v>
      </c>
      <c r="K228" s="8">
        <f t="shared" si="17"/>
        <v>12600</v>
      </c>
      <c r="L228" s="5" t="s">
        <v>25</v>
      </c>
      <c r="M228" s="7" t="b">
        <f t="shared" ca="1" si="18"/>
        <v>0</v>
      </c>
      <c r="N228" s="16" t="b">
        <f t="shared" ca="1" si="19"/>
        <v>0</v>
      </c>
    </row>
    <row r="229" spans="1:14" x14ac:dyDescent="0.35">
      <c r="A229" s="5">
        <v>228</v>
      </c>
      <c r="B229" s="12" t="s">
        <v>255</v>
      </c>
      <c r="C229" s="6">
        <v>44424</v>
      </c>
      <c r="D229" s="6" t="str">
        <f t="shared" si="15"/>
        <v>16</v>
      </c>
      <c r="E229" s="6" t="str">
        <f t="shared" si="16"/>
        <v>Aug</v>
      </c>
      <c r="F229" s="7" t="s">
        <v>20</v>
      </c>
      <c r="G229" s="7" t="s">
        <v>12</v>
      </c>
      <c r="H229" s="7" t="s">
        <v>15</v>
      </c>
      <c r="I229" s="8">
        <v>5</v>
      </c>
      <c r="J229" s="8">
        <v>1200</v>
      </c>
      <c r="K229" s="8">
        <f t="shared" si="17"/>
        <v>6000</v>
      </c>
      <c r="L229" s="5" t="s">
        <v>26</v>
      </c>
      <c r="M229" s="7" t="b">
        <f t="shared" ca="1" si="18"/>
        <v>0</v>
      </c>
      <c r="N229" s="16" t="b">
        <f t="shared" ca="1" si="19"/>
        <v>0</v>
      </c>
    </row>
    <row r="230" spans="1:14" x14ac:dyDescent="0.35">
      <c r="A230" s="5">
        <v>229</v>
      </c>
      <c r="B230" s="12" t="s">
        <v>256</v>
      </c>
      <c r="C230" s="6">
        <v>44425</v>
      </c>
      <c r="D230" s="6" t="str">
        <f t="shared" si="15"/>
        <v>17</v>
      </c>
      <c r="E230" s="6" t="str">
        <f t="shared" si="16"/>
        <v>Aug</v>
      </c>
      <c r="F230" s="7" t="s">
        <v>20</v>
      </c>
      <c r="G230" s="7" t="s">
        <v>9</v>
      </c>
      <c r="H230" s="7" t="s">
        <v>17</v>
      </c>
      <c r="I230" s="8">
        <v>4</v>
      </c>
      <c r="J230" s="8">
        <v>1500</v>
      </c>
      <c r="K230" s="8">
        <f t="shared" si="17"/>
        <v>6000</v>
      </c>
      <c r="L230" s="5" t="s">
        <v>25</v>
      </c>
      <c r="M230" s="7" t="b">
        <f t="shared" ca="1" si="18"/>
        <v>0</v>
      </c>
      <c r="N230" s="16" t="b">
        <f t="shared" ca="1" si="19"/>
        <v>0</v>
      </c>
    </row>
    <row r="231" spans="1:14" x14ac:dyDescent="0.35">
      <c r="A231" s="5">
        <v>230</v>
      </c>
      <c r="B231" s="12" t="s">
        <v>257</v>
      </c>
      <c r="C231" s="6">
        <v>44426</v>
      </c>
      <c r="D231" s="6" t="str">
        <f t="shared" si="15"/>
        <v>18</v>
      </c>
      <c r="E231" s="6" t="str">
        <f t="shared" si="16"/>
        <v>Aug</v>
      </c>
      <c r="F231" s="7" t="s">
        <v>8</v>
      </c>
      <c r="G231" s="7" t="s">
        <v>9</v>
      </c>
      <c r="H231" s="7" t="s">
        <v>19</v>
      </c>
      <c r="I231" s="8">
        <v>3</v>
      </c>
      <c r="J231" s="8">
        <v>300</v>
      </c>
      <c r="K231" s="8">
        <f t="shared" si="17"/>
        <v>900</v>
      </c>
      <c r="L231" s="5" t="s">
        <v>26</v>
      </c>
      <c r="M231" s="7" t="b">
        <f t="shared" ca="1" si="18"/>
        <v>0</v>
      </c>
      <c r="N231" s="16" t="b">
        <f t="shared" ca="1" si="19"/>
        <v>0</v>
      </c>
    </row>
    <row r="232" spans="1:14" x14ac:dyDescent="0.35">
      <c r="A232" s="5">
        <v>231</v>
      </c>
      <c r="B232" s="12" t="s">
        <v>258</v>
      </c>
      <c r="C232" s="6">
        <v>44427</v>
      </c>
      <c r="D232" s="6" t="str">
        <f t="shared" si="15"/>
        <v>19</v>
      </c>
      <c r="E232" s="6" t="str">
        <f t="shared" si="16"/>
        <v>Aug</v>
      </c>
      <c r="F232" s="7" t="s">
        <v>11</v>
      </c>
      <c r="G232" s="7" t="s">
        <v>9</v>
      </c>
      <c r="H232" s="7" t="s">
        <v>21</v>
      </c>
      <c r="I232" s="8">
        <v>2</v>
      </c>
      <c r="J232" s="8">
        <v>190</v>
      </c>
      <c r="K232" s="8">
        <f t="shared" si="17"/>
        <v>380</v>
      </c>
      <c r="L232" s="5" t="s">
        <v>25</v>
      </c>
      <c r="M232" s="7" t="b">
        <f t="shared" ca="1" si="18"/>
        <v>0</v>
      </c>
      <c r="N232" s="16" t="b">
        <f t="shared" ca="1" si="19"/>
        <v>0</v>
      </c>
    </row>
    <row r="233" spans="1:14" x14ac:dyDescent="0.35">
      <c r="A233" s="5">
        <v>232</v>
      </c>
      <c r="B233" s="12" t="s">
        <v>259</v>
      </c>
      <c r="C233" s="6">
        <v>44428</v>
      </c>
      <c r="D233" s="6" t="str">
        <f t="shared" si="15"/>
        <v>20</v>
      </c>
      <c r="E233" s="6" t="str">
        <f t="shared" si="16"/>
        <v>Aug</v>
      </c>
      <c r="F233" s="7" t="s">
        <v>14</v>
      </c>
      <c r="G233" s="7" t="s">
        <v>9</v>
      </c>
      <c r="H233" s="7" t="s">
        <v>10</v>
      </c>
      <c r="I233" s="8">
        <v>7</v>
      </c>
      <c r="J233" s="8">
        <v>210</v>
      </c>
      <c r="K233" s="8">
        <f t="shared" si="17"/>
        <v>1470</v>
      </c>
      <c r="L233" s="5" t="s">
        <v>26</v>
      </c>
      <c r="M233" s="7" t="b">
        <f t="shared" ca="1" si="18"/>
        <v>0</v>
      </c>
      <c r="N233" s="16" t="b">
        <f t="shared" ca="1" si="19"/>
        <v>0</v>
      </c>
    </row>
    <row r="234" spans="1:14" x14ac:dyDescent="0.35">
      <c r="A234" s="5">
        <v>233</v>
      </c>
      <c r="B234" s="12" t="s">
        <v>260</v>
      </c>
      <c r="C234" s="6">
        <v>44429</v>
      </c>
      <c r="D234" s="6" t="str">
        <f t="shared" si="15"/>
        <v>21</v>
      </c>
      <c r="E234" s="6" t="str">
        <f t="shared" si="16"/>
        <v>Aug</v>
      </c>
      <c r="F234" s="7" t="s">
        <v>16</v>
      </c>
      <c r="G234" s="7" t="s">
        <v>9</v>
      </c>
      <c r="H234" s="7" t="s">
        <v>13</v>
      </c>
      <c r="I234" s="8">
        <v>6</v>
      </c>
      <c r="J234" s="8">
        <v>2100</v>
      </c>
      <c r="K234" s="8">
        <f t="shared" si="17"/>
        <v>12600</v>
      </c>
      <c r="L234" s="5" t="s">
        <v>25</v>
      </c>
      <c r="M234" s="7" t="b">
        <f t="shared" ca="1" si="18"/>
        <v>0</v>
      </c>
      <c r="N234" s="16" t="b">
        <f t="shared" ca="1" si="19"/>
        <v>0</v>
      </c>
    </row>
    <row r="235" spans="1:14" x14ac:dyDescent="0.35">
      <c r="A235" s="5">
        <v>234</v>
      </c>
      <c r="B235" s="12" t="s">
        <v>261</v>
      </c>
      <c r="C235" s="6">
        <v>44430</v>
      </c>
      <c r="D235" s="6" t="str">
        <f t="shared" si="15"/>
        <v>22</v>
      </c>
      <c r="E235" s="6" t="str">
        <f t="shared" si="16"/>
        <v>Aug</v>
      </c>
      <c r="F235" s="7" t="s">
        <v>18</v>
      </c>
      <c r="G235" s="7" t="s">
        <v>9</v>
      </c>
      <c r="H235" s="7" t="s">
        <v>13</v>
      </c>
      <c r="I235" s="8">
        <v>7</v>
      </c>
      <c r="J235" s="8">
        <v>2100</v>
      </c>
      <c r="K235" s="8">
        <f t="shared" si="17"/>
        <v>14700</v>
      </c>
      <c r="L235" s="5" t="s">
        <v>26</v>
      </c>
      <c r="M235" s="7" t="b">
        <f t="shared" ca="1" si="18"/>
        <v>0</v>
      </c>
      <c r="N235" s="16" t="b">
        <f t="shared" ca="1" si="19"/>
        <v>0</v>
      </c>
    </row>
    <row r="236" spans="1:14" x14ac:dyDescent="0.35">
      <c r="A236" s="5">
        <v>235</v>
      </c>
      <c r="B236" s="12" t="s">
        <v>262</v>
      </c>
      <c r="C236" s="6">
        <v>44431</v>
      </c>
      <c r="D236" s="6" t="str">
        <f t="shared" si="15"/>
        <v>23</v>
      </c>
      <c r="E236" s="6" t="str">
        <f t="shared" si="16"/>
        <v>Aug</v>
      </c>
      <c r="F236" s="7" t="s">
        <v>20</v>
      </c>
      <c r="G236" s="7" t="s">
        <v>9</v>
      </c>
      <c r="H236" s="7" t="s">
        <v>17</v>
      </c>
      <c r="I236" s="8">
        <v>4</v>
      </c>
      <c r="J236" s="8">
        <v>1500</v>
      </c>
      <c r="K236" s="8">
        <f t="shared" si="17"/>
        <v>6000</v>
      </c>
      <c r="L236" s="5" t="s">
        <v>25</v>
      </c>
      <c r="M236" s="7" t="b">
        <f t="shared" ca="1" si="18"/>
        <v>0</v>
      </c>
      <c r="N236" s="16" t="b">
        <f t="shared" ca="1" si="19"/>
        <v>0</v>
      </c>
    </row>
    <row r="237" spans="1:14" x14ac:dyDescent="0.35">
      <c r="A237" s="5">
        <v>236</v>
      </c>
      <c r="B237" s="12" t="s">
        <v>263</v>
      </c>
      <c r="C237" s="6">
        <v>44432</v>
      </c>
      <c r="D237" s="6" t="str">
        <f t="shared" si="15"/>
        <v>24</v>
      </c>
      <c r="E237" s="6" t="str">
        <f t="shared" si="16"/>
        <v>Aug</v>
      </c>
      <c r="F237" s="7" t="s">
        <v>8</v>
      </c>
      <c r="G237" s="7" t="s">
        <v>9</v>
      </c>
      <c r="H237" s="7" t="s">
        <v>19</v>
      </c>
      <c r="I237" s="8">
        <v>3</v>
      </c>
      <c r="J237" s="8">
        <v>300</v>
      </c>
      <c r="K237" s="8">
        <f t="shared" si="17"/>
        <v>900</v>
      </c>
      <c r="L237" s="5" t="s">
        <v>26</v>
      </c>
      <c r="M237" s="7" t="b">
        <f t="shared" ca="1" si="18"/>
        <v>0</v>
      </c>
      <c r="N237" s="16" t="b">
        <f t="shared" ca="1" si="19"/>
        <v>0</v>
      </c>
    </row>
    <row r="238" spans="1:14" x14ac:dyDescent="0.35">
      <c r="A238" s="5">
        <v>237</v>
      </c>
      <c r="B238" s="12" t="s">
        <v>264</v>
      </c>
      <c r="C238" s="6">
        <v>44433</v>
      </c>
      <c r="D238" s="6" t="str">
        <f t="shared" si="15"/>
        <v>25</v>
      </c>
      <c r="E238" s="6" t="str">
        <f t="shared" si="16"/>
        <v>Aug</v>
      </c>
      <c r="F238" s="7" t="s">
        <v>11</v>
      </c>
      <c r="G238" s="7" t="s">
        <v>12</v>
      </c>
      <c r="H238" s="7" t="s">
        <v>21</v>
      </c>
      <c r="I238" s="8">
        <v>2</v>
      </c>
      <c r="J238" s="8">
        <v>190</v>
      </c>
      <c r="K238" s="8">
        <f t="shared" si="17"/>
        <v>380</v>
      </c>
      <c r="L238" s="5" t="s">
        <v>25</v>
      </c>
      <c r="M238" s="7" t="b">
        <f t="shared" ca="1" si="18"/>
        <v>0</v>
      </c>
      <c r="N238" s="16" t="b">
        <f t="shared" ca="1" si="19"/>
        <v>0</v>
      </c>
    </row>
    <row r="239" spans="1:14" x14ac:dyDescent="0.35">
      <c r="A239" s="5">
        <v>238</v>
      </c>
      <c r="B239" s="12" t="s">
        <v>265</v>
      </c>
      <c r="C239" s="6">
        <v>44434</v>
      </c>
      <c r="D239" s="6" t="str">
        <f t="shared" si="15"/>
        <v>26</v>
      </c>
      <c r="E239" s="6" t="str">
        <f t="shared" si="16"/>
        <v>Aug</v>
      </c>
      <c r="F239" s="7" t="s">
        <v>14</v>
      </c>
      <c r="G239" s="7" t="s">
        <v>9</v>
      </c>
      <c r="H239" s="7" t="s">
        <v>10</v>
      </c>
      <c r="I239" s="8">
        <v>2</v>
      </c>
      <c r="J239" s="8">
        <v>210</v>
      </c>
      <c r="K239" s="8">
        <f t="shared" si="17"/>
        <v>420</v>
      </c>
      <c r="L239" s="5" t="s">
        <v>26</v>
      </c>
      <c r="M239" s="7" t="b">
        <f t="shared" ca="1" si="18"/>
        <v>0</v>
      </c>
      <c r="N239" s="16" t="b">
        <f t="shared" ca="1" si="19"/>
        <v>0</v>
      </c>
    </row>
    <row r="240" spans="1:14" x14ac:dyDescent="0.35">
      <c r="A240" s="5">
        <v>239</v>
      </c>
      <c r="B240" s="12" t="s">
        <v>266</v>
      </c>
      <c r="C240" s="6">
        <v>44435</v>
      </c>
      <c r="D240" s="6" t="str">
        <f t="shared" si="15"/>
        <v>27</v>
      </c>
      <c r="E240" s="6" t="str">
        <f t="shared" si="16"/>
        <v>Aug</v>
      </c>
      <c r="F240" s="7" t="s">
        <v>16</v>
      </c>
      <c r="G240" s="7" t="s">
        <v>12</v>
      </c>
      <c r="H240" s="7" t="s">
        <v>13</v>
      </c>
      <c r="I240" s="8">
        <v>7</v>
      </c>
      <c r="J240" s="8">
        <v>2100</v>
      </c>
      <c r="K240" s="8">
        <f t="shared" si="17"/>
        <v>14700</v>
      </c>
      <c r="L240" s="5" t="s">
        <v>25</v>
      </c>
      <c r="M240" s="7" t="b">
        <f t="shared" ca="1" si="18"/>
        <v>0</v>
      </c>
      <c r="N240" s="16" t="b">
        <f t="shared" ca="1" si="19"/>
        <v>0</v>
      </c>
    </row>
    <row r="241" spans="1:14" x14ac:dyDescent="0.35">
      <c r="A241" s="5">
        <v>240</v>
      </c>
      <c r="B241" s="12" t="s">
        <v>267</v>
      </c>
      <c r="C241" s="6">
        <v>44436</v>
      </c>
      <c r="D241" s="6" t="str">
        <f t="shared" si="15"/>
        <v>28</v>
      </c>
      <c r="E241" s="6" t="str">
        <f t="shared" si="16"/>
        <v>Aug</v>
      </c>
      <c r="F241" s="7" t="s">
        <v>18</v>
      </c>
      <c r="G241" s="7" t="s">
        <v>9</v>
      </c>
      <c r="H241" s="7" t="s">
        <v>15</v>
      </c>
      <c r="I241" s="8">
        <v>6</v>
      </c>
      <c r="J241" s="8">
        <v>1200</v>
      </c>
      <c r="K241" s="8">
        <f t="shared" si="17"/>
        <v>7200</v>
      </c>
      <c r="L241" s="5" t="s">
        <v>26</v>
      </c>
      <c r="M241" s="7" t="b">
        <f t="shared" ca="1" si="18"/>
        <v>0</v>
      </c>
      <c r="N241" s="16" t="b">
        <f t="shared" ca="1" si="19"/>
        <v>0</v>
      </c>
    </row>
    <row r="242" spans="1:14" x14ac:dyDescent="0.35">
      <c r="A242" s="5">
        <v>241</v>
      </c>
      <c r="B242" s="12" t="s">
        <v>268</v>
      </c>
      <c r="C242" s="6">
        <v>44437</v>
      </c>
      <c r="D242" s="6" t="str">
        <f t="shared" si="15"/>
        <v>29</v>
      </c>
      <c r="E242" s="6" t="str">
        <f t="shared" si="16"/>
        <v>Aug</v>
      </c>
      <c r="F242" s="7" t="s">
        <v>20</v>
      </c>
      <c r="G242" s="7" t="s">
        <v>9</v>
      </c>
      <c r="H242" s="7" t="s">
        <v>17</v>
      </c>
      <c r="I242" s="8">
        <v>5</v>
      </c>
      <c r="J242" s="8">
        <v>1500</v>
      </c>
      <c r="K242" s="8">
        <f t="shared" si="17"/>
        <v>7500</v>
      </c>
      <c r="L242" s="5" t="s">
        <v>25</v>
      </c>
      <c r="M242" s="7" t="b">
        <f t="shared" ca="1" si="18"/>
        <v>0</v>
      </c>
      <c r="N242" s="16" t="b">
        <f t="shared" ca="1" si="19"/>
        <v>0</v>
      </c>
    </row>
    <row r="243" spans="1:14" x14ac:dyDescent="0.35">
      <c r="A243" s="5">
        <v>242</v>
      </c>
      <c r="B243" s="12" t="s">
        <v>269</v>
      </c>
      <c r="C243" s="6">
        <v>44438</v>
      </c>
      <c r="D243" s="6" t="str">
        <f t="shared" si="15"/>
        <v>30</v>
      </c>
      <c r="E243" s="6" t="str">
        <f t="shared" si="16"/>
        <v>Aug</v>
      </c>
      <c r="F243" s="7" t="s">
        <v>20</v>
      </c>
      <c r="G243" s="7" t="s">
        <v>9</v>
      </c>
      <c r="H243" s="7" t="s">
        <v>19</v>
      </c>
      <c r="I243" s="8">
        <v>4</v>
      </c>
      <c r="J243" s="8">
        <v>300</v>
      </c>
      <c r="K243" s="8">
        <f t="shared" si="17"/>
        <v>1200</v>
      </c>
      <c r="L243" s="5" t="s">
        <v>26</v>
      </c>
      <c r="M243" s="7" t="b">
        <f t="shared" ca="1" si="18"/>
        <v>0</v>
      </c>
      <c r="N243" s="16" t="b">
        <f t="shared" ca="1" si="19"/>
        <v>0</v>
      </c>
    </row>
    <row r="244" spans="1:14" x14ac:dyDescent="0.35">
      <c r="A244" s="5">
        <v>243</v>
      </c>
      <c r="B244" s="12" t="s">
        <v>270</v>
      </c>
      <c r="C244" s="6">
        <v>44439</v>
      </c>
      <c r="D244" s="6" t="str">
        <f t="shared" si="15"/>
        <v>31</v>
      </c>
      <c r="E244" s="6" t="str">
        <f t="shared" si="16"/>
        <v>Aug</v>
      </c>
      <c r="F244" s="7" t="s">
        <v>8</v>
      </c>
      <c r="G244" s="7" t="s">
        <v>9</v>
      </c>
      <c r="H244" s="7" t="s">
        <v>19</v>
      </c>
      <c r="I244" s="8">
        <v>3</v>
      </c>
      <c r="J244" s="8">
        <v>300</v>
      </c>
      <c r="K244" s="8">
        <f t="shared" si="17"/>
        <v>900</v>
      </c>
      <c r="L244" s="5" t="s">
        <v>25</v>
      </c>
      <c r="M244" s="7" t="b">
        <f t="shared" ca="1" si="18"/>
        <v>0</v>
      </c>
      <c r="N244" s="16" t="b">
        <f t="shared" ca="1" si="19"/>
        <v>0</v>
      </c>
    </row>
    <row r="245" spans="1:14" x14ac:dyDescent="0.35">
      <c r="A245" s="5">
        <v>244</v>
      </c>
      <c r="B245" s="12" t="s">
        <v>271</v>
      </c>
      <c r="C245" s="6">
        <v>44440</v>
      </c>
      <c r="D245" s="6" t="str">
        <f t="shared" si="15"/>
        <v>01</v>
      </c>
      <c r="E245" s="6" t="str">
        <f t="shared" si="16"/>
        <v>Sep</v>
      </c>
      <c r="F245" s="7" t="s">
        <v>8</v>
      </c>
      <c r="G245" s="7" t="s">
        <v>12</v>
      </c>
      <c r="H245" s="7" t="s">
        <v>21</v>
      </c>
      <c r="I245" s="8">
        <v>2</v>
      </c>
      <c r="J245" s="8">
        <v>190</v>
      </c>
      <c r="K245" s="8">
        <f t="shared" si="17"/>
        <v>380</v>
      </c>
      <c r="L245" s="5" t="s">
        <v>26</v>
      </c>
      <c r="M245" s="7" t="b">
        <f t="shared" ca="1" si="18"/>
        <v>0</v>
      </c>
      <c r="N245" s="16" t="b">
        <f t="shared" ca="1" si="19"/>
        <v>0</v>
      </c>
    </row>
    <row r="246" spans="1:14" x14ac:dyDescent="0.35">
      <c r="A246" s="5">
        <v>245</v>
      </c>
      <c r="B246" s="12" t="s">
        <v>272</v>
      </c>
      <c r="C246" s="6">
        <v>44441</v>
      </c>
      <c r="D246" s="6" t="str">
        <f t="shared" si="15"/>
        <v>02</v>
      </c>
      <c r="E246" s="6" t="str">
        <f t="shared" si="16"/>
        <v>Sep</v>
      </c>
      <c r="F246" s="7" t="s">
        <v>8</v>
      </c>
      <c r="G246" s="7" t="s">
        <v>22</v>
      </c>
      <c r="H246" s="7" t="s">
        <v>10</v>
      </c>
      <c r="I246" s="8">
        <v>2</v>
      </c>
      <c r="J246" s="8">
        <v>210</v>
      </c>
      <c r="K246" s="8">
        <f t="shared" si="17"/>
        <v>420</v>
      </c>
      <c r="L246" s="5" t="s">
        <v>25</v>
      </c>
      <c r="M246" s="7" t="b">
        <f t="shared" ca="1" si="18"/>
        <v>0</v>
      </c>
      <c r="N246" s="16" t="b">
        <f t="shared" ca="1" si="19"/>
        <v>0</v>
      </c>
    </row>
    <row r="247" spans="1:14" x14ac:dyDescent="0.35">
      <c r="A247" s="5">
        <v>246</v>
      </c>
      <c r="B247" s="12" t="s">
        <v>273</v>
      </c>
      <c r="C247" s="6">
        <v>44442</v>
      </c>
      <c r="D247" s="6" t="str">
        <f t="shared" si="15"/>
        <v>03</v>
      </c>
      <c r="E247" s="6" t="str">
        <f t="shared" si="16"/>
        <v>Sep</v>
      </c>
      <c r="F247" s="7" t="s">
        <v>8</v>
      </c>
      <c r="G247" s="7" t="s">
        <v>23</v>
      </c>
      <c r="H247" s="7" t="s">
        <v>13</v>
      </c>
      <c r="I247" s="8">
        <v>7</v>
      </c>
      <c r="J247" s="8">
        <v>2100</v>
      </c>
      <c r="K247" s="8">
        <f t="shared" si="17"/>
        <v>14700</v>
      </c>
      <c r="L247" s="5" t="s">
        <v>26</v>
      </c>
      <c r="M247" s="7" t="b">
        <f t="shared" ca="1" si="18"/>
        <v>0</v>
      </c>
      <c r="N247" s="16" t="b">
        <f t="shared" ca="1" si="19"/>
        <v>0</v>
      </c>
    </row>
    <row r="248" spans="1:14" x14ac:dyDescent="0.35">
      <c r="A248" s="5">
        <v>247</v>
      </c>
      <c r="B248" s="12" t="s">
        <v>274</v>
      </c>
      <c r="C248" s="6">
        <v>44443</v>
      </c>
      <c r="D248" s="6" t="str">
        <f t="shared" si="15"/>
        <v>04</v>
      </c>
      <c r="E248" s="6" t="str">
        <f t="shared" si="16"/>
        <v>Sep</v>
      </c>
      <c r="F248" s="7" t="s">
        <v>8</v>
      </c>
      <c r="G248" s="7" t="s">
        <v>9</v>
      </c>
      <c r="H248" s="7" t="s">
        <v>15</v>
      </c>
      <c r="I248" s="8">
        <v>6</v>
      </c>
      <c r="J248" s="8">
        <v>1200</v>
      </c>
      <c r="K248" s="8">
        <f t="shared" si="17"/>
        <v>7200</v>
      </c>
      <c r="L248" s="5" t="s">
        <v>25</v>
      </c>
      <c r="M248" s="7" t="b">
        <f t="shared" ca="1" si="18"/>
        <v>0</v>
      </c>
      <c r="N248" s="16" t="b">
        <f t="shared" ca="1" si="19"/>
        <v>0</v>
      </c>
    </row>
    <row r="249" spans="1:14" x14ac:dyDescent="0.35">
      <c r="A249" s="5">
        <v>248</v>
      </c>
      <c r="B249" s="12" t="s">
        <v>275</v>
      </c>
      <c r="C249" s="6">
        <v>44444</v>
      </c>
      <c r="D249" s="6" t="str">
        <f t="shared" si="15"/>
        <v>05</v>
      </c>
      <c r="E249" s="6" t="str">
        <f t="shared" si="16"/>
        <v>Sep</v>
      </c>
      <c r="F249" s="7" t="s">
        <v>8</v>
      </c>
      <c r="G249" s="7" t="s">
        <v>12</v>
      </c>
      <c r="H249" s="7" t="s">
        <v>17</v>
      </c>
      <c r="I249" s="8">
        <v>5</v>
      </c>
      <c r="J249" s="8">
        <v>1500</v>
      </c>
      <c r="K249" s="8">
        <f t="shared" si="17"/>
        <v>7500</v>
      </c>
      <c r="L249" s="5" t="s">
        <v>26</v>
      </c>
      <c r="M249" s="7" t="b">
        <f t="shared" ca="1" si="18"/>
        <v>0</v>
      </c>
      <c r="N249" s="16" t="b">
        <f t="shared" ca="1" si="19"/>
        <v>0</v>
      </c>
    </row>
    <row r="250" spans="1:14" x14ac:dyDescent="0.35">
      <c r="A250" s="5">
        <v>249</v>
      </c>
      <c r="B250" s="12" t="s">
        <v>276</v>
      </c>
      <c r="C250" s="6">
        <v>44445</v>
      </c>
      <c r="D250" s="6" t="str">
        <f t="shared" si="15"/>
        <v>06</v>
      </c>
      <c r="E250" s="6" t="str">
        <f t="shared" si="16"/>
        <v>Sep</v>
      </c>
      <c r="F250" s="7" t="s">
        <v>8</v>
      </c>
      <c r="G250" s="7" t="s">
        <v>22</v>
      </c>
      <c r="H250" s="7" t="s">
        <v>19</v>
      </c>
      <c r="I250" s="8">
        <v>4</v>
      </c>
      <c r="J250" s="8">
        <v>300</v>
      </c>
      <c r="K250" s="8">
        <f t="shared" si="17"/>
        <v>1200</v>
      </c>
      <c r="L250" s="5" t="s">
        <v>25</v>
      </c>
      <c r="M250" s="7" t="b">
        <f t="shared" ca="1" si="18"/>
        <v>0</v>
      </c>
      <c r="N250" s="16" t="b">
        <f t="shared" ca="1" si="19"/>
        <v>0</v>
      </c>
    </row>
    <row r="251" spans="1:14" x14ac:dyDescent="0.35">
      <c r="A251" s="5">
        <v>250</v>
      </c>
      <c r="B251" s="12" t="s">
        <v>277</v>
      </c>
      <c r="C251" s="6">
        <v>44446</v>
      </c>
      <c r="D251" s="6" t="str">
        <f t="shared" si="15"/>
        <v>07</v>
      </c>
      <c r="E251" s="6" t="str">
        <f t="shared" si="16"/>
        <v>Sep</v>
      </c>
      <c r="F251" s="7" t="s">
        <v>8</v>
      </c>
      <c r="G251" s="7" t="s">
        <v>23</v>
      </c>
      <c r="H251" s="7" t="s">
        <v>19</v>
      </c>
      <c r="I251" s="8">
        <v>3</v>
      </c>
      <c r="J251" s="8">
        <v>300</v>
      </c>
      <c r="K251" s="8">
        <f t="shared" si="17"/>
        <v>900</v>
      </c>
      <c r="L251" s="5" t="s">
        <v>26</v>
      </c>
      <c r="M251" s="7" t="b">
        <f t="shared" ca="1" si="18"/>
        <v>0</v>
      </c>
      <c r="N251" s="16" t="b">
        <f t="shared" ca="1" si="19"/>
        <v>0</v>
      </c>
    </row>
    <row r="252" spans="1:14" x14ac:dyDescent="0.35">
      <c r="A252" s="5">
        <v>251</v>
      </c>
      <c r="B252" s="12" t="s">
        <v>278</v>
      </c>
      <c r="C252" s="6">
        <v>44447</v>
      </c>
      <c r="D252" s="6" t="str">
        <f t="shared" si="15"/>
        <v>08</v>
      </c>
      <c r="E252" s="6" t="str">
        <f t="shared" si="16"/>
        <v>Sep</v>
      </c>
      <c r="F252" s="7" t="s">
        <v>11</v>
      </c>
      <c r="G252" s="7" t="s">
        <v>12</v>
      </c>
      <c r="H252" s="7" t="s">
        <v>21</v>
      </c>
      <c r="I252" s="8">
        <v>2</v>
      </c>
      <c r="J252" s="8">
        <v>190</v>
      </c>
      <c r="K252" s="8">
        <f t="shared" si="17"/>
        <v>380</v>
      </c>
      <c r="L252" s="5" t="s">
        <v>25</v>
      </c>
      <c r="M252" s="7" t="b">
        <f t="shared" ca="1" si="18"/>
        <v>0</v>
      </c>
      <c r="N252" s="16" t="b">
        <f t="shared" ca="1" si="19"/>
        <v>0</v>
      </c>
    </row>
    <row r="253" spans="1:14" x14ac:dyDescent="0.35">
      <c r="A253" s="5">
        <v>252</v>
      </c>
      <c r="B253" s="12" t="s">
        <v>279</v>
      </c>
      <c r="C253" s="6">
        <v>44448</v>
      </c>
      <c r="D253" s="6" t="str">
        <f t="shared" si="15"/>
        <v>09</v>
      </c>
      <c r="E253" s="6" t="str">
        <f t="shared" si="16"/>
        <v>Sep</v>
      </c>
      <c r="F253" s="7" t="s">
        <v>11</v>
      </c>
      <c r="G253" s="7" t="s">
        <v>9</v>
      </c>
      <c r="H253" s="7" t="s">
        <v>10</v>
      </c>
      <c r="I253" s="8">
        <v>2</v>
      </c>
      <c r="J253" s="8">
        <v>210</v>
      </c>
      <c r="K253" s="8">
        <f t="shared" si="17"/>
        <v>420</v>
      </c>
      <c r="L253" s="5" t="s">
        <v>26</v>
      </c>
      <c r="M253" s="7" t="b">
        <f t="shared" ca="1" si="18"/>
        <v>0</v>
      </c>
      <c r="N253" s="16" t="b">
        <f t="shared" ca="1" si="19"/>
        <v>0</v>
      </c>
    </row>
    <row r="254" spans="1:14" x14ac:dyDescent="0.35">
      <c r="A254" s="5">
        <v>253</v>
      </c>
      <c r="B254" s="12" t="s">
        <v>280</v>
      </c>
      <c r="C254" s="6">
        <v>44449</v>
      </c>
      <c r="D254" s="6" t="str">
        <f t="shared" si="15"/>
        <v>10</v>
      </c>
      <c r="E254" s="6" t="str">
        <f t="shared" si="16"/>
        <v>Sep</v>
      </c>
      <c r="F254" s="7" t="s">
        <v>11</v>
      </c>
      <c r="G254" s="7" t="s">
        <v>22</v>
      </c>
      <c r="H254" s="7" t="s">
        <v>13</v>
      </c>
      <c r="I254" s="8">
        <v>7</v>
      </c>
      <c r="J254" s="8">
        <v>2100</v>
      </c>
      <c r="K254" s="8">
        <f t="shared" si="17"/>
        <v>14700</v>
      </c>
      <c r="L254" s="5" t="s">
        <v>25</v>
      </c>
      <c r="M254" s="7" t="b">
        <f t="shared" ca="1" si="18"/>
        <v>0</v>
      </c>
      <c r="N254" s="16" t="b">
        <f t="shared" ca="1" si="19"/>
        <v>0</v>
      </c>
    </row>
    <row r="255" spans="1:14" x14ac:dyDescent="0.35">
      <c r="A255" s="5">
        <v>254</v>
      </c>
      <c r="B255" s="12" t="s">
        <v>281</v>
      </c>
      <c r="C255" s="6">
        <v>44450</v>
      </c>
      <c r="D255" s="6" t="str">
        <f t="shared" si="15"/>
        <v>11</v>
      </c>
      <c r="E255" s="6" t="str">
        <f t="shared" si="16"/>
        <v>Sep</v>
      </c>
      <c r="F255" s="7" t="s">
        <v>11</v>
      </c>
      <c r="G255" s="7" t="s">
        <v>23</v>
      </c>
      <c r="H255" s="7" t="s">
        <v>15</v>
      </c>
      <c r="I255" s="8">
        <v>6</v>
      </c>
      <c r="J255" s="8">
        <v>1200</v>
      </c>
      <c r="K255" s="8">
        <f t="shared" si="17"/>
        <v>7200</v>
      </c>
      <c r="L255" s="5" t="s">
        <v>26</v>
      </c>
      <c r="M255" s="7" t="b">
        <f t="shared" ca="1" si="18"/>
        <v>0</v>
      </c>
      <c r="N255" s="16" t="b">
        <f t="shared" ca="1" si="19"/>
        <v>0</v>
      </c>
    </row>
    <row r="256" spans="1:14" x14ac:dyDescent="0.35">
      <c r="A256" s="5">
        <v>255</v>
      </c>
      <c r="B256" s="12" t="s">
        <v>282</v>
      </c>
      <c r="C256" s="6">
        <v>44451</v>
      </c>
      <c r="D256" s="6" t="str">
        <f t="shared" si="15"/>
        <v>12</v>
      </c>
      <c r="E256" s="6" t="str">
        <f t="shared" si="16"/>
        <v>Sep</v>
      </c>
      <c r="F256" s="7" t="s">
        <v>11</v>
      </c>
      <c r="G256" s="7" t="s">
        <v>12</v>
      </c>
      <c r="H256" s="7" t="s">
        <v>17</v>
      </c>
      <c r="I256" s="8">
        <v>5</v>
      </c>
      <c r="J256" s="8">
        <v>1500</v>
      </c>
      <c r="K256" s="8">
        <f t="shared" si="17"/>
        <v>7500</v>
      </c>
      <c r="L256" s="5" t="s">
        <v>25</v>
      </c>
      <c r="M256" s="7" t="b">
        <f t="shared" ca="1" si="18"/>
        <v>0</v>
      </c>
      <c r="N256" s="16" t="b">
        <f t="shared" ca="1" si="19"/>
        <v>0</v>
      </c>
    </row>
    <row r="257" spans="1:14" x14ac:dyDescent="0.35">
      <c r="A257" s="5">
        <v>256</v>
      </c>
      <c r="B257" s="12" t="s">
        <v>283</v>
      </c>
      <c r="C257" s="6">
        <v>44452</v>
      </c>
      <c r="D257" s="6" t="str">
        <f t="shared" si="15"/>
        <v>13</v>
      </c>
      <c r="E257" s="6" t="str">
        <f t="shared" si="16"/>
        <v>Sep</v>
      </c>
      <c r="F257" s="7" t="s">
        <v>11</v>
      </c>
      <c r="G257" s="7" t="s">
        <v>9</v>
      </c>
      <c r="H257" s="7" t="s">
        <v>19</v>
      </c>
      <c r="I257" s="8">
        <v>4</v>
      </c>
      <c r="J257" s="8">
        <v>300</v>
      </c>
      <c r="K257" s="8">
        <f t="shared" si="17"/>
        <v>1200</v>
      </c>
      <c r="L257" s="5" t="s">
        <v>26</v>
      </c>
      <c r="M257" s="7" t="b">
        <f t="shared" ca="1" si="18"/>
        <v>0</v>
      </c>
      <c r="N257" s="16" t="b">
        <f t="shared" ca="1" si="19"/>
        <v>0</v>
      </c>
    </row>
    <row r="258" spans="1:14" x14ac:dyDescent="0.35">
      <c r="A258" s="5">
        <v>257</v>
      </c>
      <c r="B258" s="12" t="s">
        <v>284</v>
      </c>
      <c r="C258" s="6">
        <v>44453</v>
      </c>
      <c r="D258" s="6" t="str">
        <f t="shared" si="15"/>
        <v>14</v>
      </c>
      <c r="E258" s="6" t="str">
        <f t="shared" si="16"/>
        <v>Sep</v>
      </c>
      <c r="F258" s="7" t="s">
        <v>11</v>
      </c>
      <c r="G258" s="7" t="s">
        <v>22</v>
      </c>
      <c r="H258" s="7" t="s">
        <v>10</v>
      </c>
      <c r="I258" s="8">
        <v>7</v>
      </c>
      <c r="J258" s="8">
        <v>210</v>
      </c>
      <c r="K258" s="8">
        <f t="shared" si="17"/>
        <v>1470</v>
      </c>
      <c r="L258" s="5" t="s">
        <v>25</v>
      </c>
      <c r="M258" s="7" t="b">
        <f t="shared" ca="1" si="18"/>
        <v>0</v>
      </c>
      <c r="N258" s="16" t="b">
        <f t="shared" ca="1" si="19"/>
        <v>0</v>
      </c>
    </row>
    <row r="259" spans="1:14" x14ac:dyDescent="0.35">
      <c r="A259" s="5">
        <v>258</v>
      </c>
      <c r="B259" s="12" t="s">
        <v>285</v>
      </c>
      <c r="C259" s="6">
        <v>44454</v>
      </c>
      <c r="D259" s="6" t="str">
        <f t="shared" ref="D259:D322" si="20">TEXT(C259,"dd")</f>
        <v>15</v>
      </c>
      <c r="E259" s="6" t="str">
        <f t="shared" ref="E259:E322" si="21">TEXT(C259,"mmm")</f>
        <v>Sep</v>
      </c>
      <c r="F259" s="7" t="s">
        <v>11</v>
      </c>
      <c r="G259" s="7" t="s">
        <v>23</v>
      </c>
      <c r="H259" s="7" t="s">
        <v>13</v>
      </c>
      <c r="I259" s="8">
        <v>6</v>
      </c>
      <c r="J259" s="8">
        <v>2100</v>
      </c>
      <c r="K259" s="8">
        <f t="shared" ref="K259:K322" si="22">I259*J259</f>
        <v>12600</v>
      </c>
      <c r="L259" s="5" t="s">
        <v>26</v>
      </c>
      <c r="M259" s="7" t="b">
        <f t="shared" ref="M259:M322" ca="1" si="23">AND(A259&gt;=(TODAY()-28),A259&lt;TODAY())</f>
        <v>0</v>
      </c>
      <c r="N259" s="16" t="b">
        <f t="shared" ref="N259:N322" ca="1" si="24">AND(A259&gt;=(TODAY()-56),A259&lt;(TODAY()-28))</f>
        <v>0</v>
      </c>
    </row>
    <row r="260" spans="1:14" x14ac:dyDescent="0.35">
      <c r="A260" s="5">
        <v>259</v>
      </c>
      <c r="B260" s="12" t="s">
        <v>286</v>
      </c>
      <c r="C260" s="6">
        <v>44455</v>
      </c>
      <c r="D260" s="6" t="str">
        <f t="shared" si="20"/>
        <v>16</v>
      </c>
      <c r="E260" s="6" t="str">
        <f t="shared" si="21"/>
        <v>Sep</v>
      </c>
      <c r="F260" s="7" t="s">
        <v>14</v>
      </c>
      <c r="G260" s="7" t="s">
        <v>23</v>
      </c>
      <c r="H260" s="7" t="s">
        <v>15</v>
      </c>
      <c r="I260" s="8">
        <v>5</v>
      </c>
      <c r="J260" s="8">
        <v>1200</v>
      </c>
      <c r="K260" s="8">
        <f t="shared" si="22"/>
        <v>6000</v>
      </c>
      <c r="L260" s="5" t="s">
        <v>25</v>
      </c>
      <c r="M260" s="7" t="b">
        <f t="shared" ca="1" si="23"/>
        <v>0</v>
      </c>
      <c r="N260" s="16" t="b">
        <f t="shared" ca="1" si="24"/>
        <v>0</v>
      </c>
    </row>
    <row r="261" spans="1:14" x14ac:dyDescent="0.35">
      <c r="A261" s="5">
        <v>260</v>
      </c>
      <c r="B261" s="12" t="s">
        <v>287</v>
      </c>
      <c r="C261" s="6">
        <v>44456</v>
      </c>
      <c r="D261" s="6" t="str">
        <f t="shared" si="20"/>
        <v>17</v>
      </c>
      <c r="E261" s="6" t="str">
        <f t="shared" si="21"/>
        <v>Sep</v>
      </c>
      <c r="F261" s="7" t="s">
        <v>16</v>
      </c>
      <c r="G261" s="7" t="s">
        <v>23</v>
      </c>
      <c r="H261" s="7" t="s">
        <v>17</v>
      </c>
      <c r="I261" s="8">
        <v>4</v>
      </c>
      <c r="J261" s="8">
        <v>1500</v>
      </c>
      <c r="K261" s="8">
        <f t="shared" si="22"/>
        <v>6000</v>
      </c>
      <c r="L261" s="5" t="s">
        <v>26</v>
      </c>
      <c r="M261" s="7" t="b">
        <f t="shared" ca="1" si="23"/>
        <v>0</v>
      </c>
      <c r="N261" s="16" t="b">
        <f t="shared" ca="1" si="24"/>
        <v>0</v>
      </c>
    </row>
    <row r="262" spans="1:14" x14ac:dyDescent="0.35">
      <c r="A262" s="5">
        <v>261</v>
      </c>
      <c r="B262" s="12" t="s">
        <v>288</v>
      </c>
      <c r="C262" s="6">
        <v>44457</v>
      </c>
      <c r="D262" s="6" t="str">
        <f t="shared" si="20"/>
        <v>18</v>
      </c>
      <c r="E262" s="6" t="str">
        <f t="shared" si="21"/>
        <v>Sep</v>
      </c>
      <c r="F262" s="7" t="s">
        <v>18</v>
      </c>
      <c r="G262" s="7" t="s">
        <v>23</v>
      </c>
      <c r="H262" s="7" t="s">
        <v>19</v>
      </c>
      <c r="I262" s="8">
        <v>3</v>
      </c>
      <c r="J262" s="8">
        <v>300</v>
      </c>
      <c r="K262" s="8">
        <f t="shared" si="22"/>
        <v>900</v>
      </c>
      <c r="L262" s="5" t="s">
        <v>25</v>
      </c>
      <c r="M262" s="7" t="b">
        <f t="shared" ca="1" si="23"/>
        <v>0</v>
      </c>
      <c r="N262" s="16" t="b">
        <f t="shared" ca="1" si="24"/>
        <v>0</v>
      </c>
    </row>
    <row r="263" spans="1:14" x14ac:dyDescent="0.35">
      <c r="A263" s="5">
        <v>262</v>
      </c>
      <c r="B263" s="12" t="s">
        <v>289</v>
      </c>
      <c r="C263" s="6">
        <v>44458</v>
      </c>
      <c r="D263" s="6" t="str">
        <f t="shared" si="20"/>
        <v>19</v>
      </c>
      <c r="E263" s="6" t="str">
        <f t="shared" si="21"/>
        <v>Sep</v>
      </c>
      <c r="F263" s="7" t="s">
        <v>20</v>
      </c>
      <c r="G263" s="7" t="s">
        <v>23</v>
      </c>
      <c r="H263" s="7" t="s">
        <v>21</v>
      </c>
      <c r="I263" s="8">
        <v>2</v>
      </c>
      <c r="J263" s="8">
        <v>190</v>
      </c>
      <c r="K263" s="8">
        <f t="shared" si="22"/>
        <v>380</v>
      </c>
      <c r="L263" s="5" t="s">
        <v>26</v>
      </c>
      <c r="M263" s="7" t="b">
        <f t="shared" ca="1" si="23"/>
        <v>0</v>
      </c>
      <c r="N263" s="16" t="b">
        <f t="shared" ca="1" si="24"/>
        <v>0</v>
      </c>
    </row>
    <row r="264" spans="1:14" x14ac:dyDescent="0.35">
      <c r="A264" s="5">
        <v>263</v>
      </c>
      <c r="B264" s="12" t="s">
        <v>290</v>
      </c>
      <c r="C264" s="6">
        <v>44459</v>
      </c>
      <c r="D264" s="6" t="str">
        <f t="shared" si="20"/>
        <v>20</v>
      </c>
      <c r="E264" s="6" t="str">
        <f t="shared" si="21"/>
        <v>Sep</v>
      </c>
      <c r="F264" s="7" t="s">
        <v>20</v>
      </c>
      <c r="G264" s="7" t="s">
        <v>9</v>
      </c>
      <c r="H264" s="7" t="s">
        <v>10</v>
      </c>
      <c r="I264" s="8">
        <v>2</v>
      </c>
      <c r="J264" s="8">
        <v>210</v>
      </c>
      <c r="K264" s="8">
        <f t="shared" si="22"/>
        <v>420</v>
      </c>
      <c r="L264" s="5" t="s">
        <v>25</v>
      </c>
      <c r="M264" s="7" t="b">
        <f t="shared" ca="1" si="23"/>
        <v>0</v>
      </c>
      <c r="N264" s="16" t="b">
        <f t="shared" ca="1" si="24"/>
        <v>0</v>
      </c>
    </row>
    <row r="265" spans="1:14" x14ac:dyDescent="0.35">
      <c r="A265" s="5">
        <v>264</v>
      </c>
      <c r="B265" s="12" t="s">
        <v>291</v>
      </c>
      <c r="C265" s="6">
        <v>44460</v>
      </c>
      <c r="D265" s="6" t="str">
        <f t="shared" si="20"/>
        <v>21</v>
      </c>
      <c r="E265" s="6" t="str">
        <f t="shared" si="21"/>
        <v>Sep</v>
      </c>
      <c r="F265" s="7" t="s">
        <v>20</v>
      </c>
      <c r="G265" s="7" t="s">
        <v>12</v>
      </c>
      <c r="H265" s="7" t="s">
        <v>13</v>
      </c>
      <c r="I265" s="8">
        <v>7</v>
      </c>
      <c r="J265" s="8">
        <v>2100</v>
      </c>
      <c r="K265" s="8">
        <f t="shared" si="22"/>
        <v>14700</v>
      </c>
      <c r="L265" s="5" t="s">
        <v>26</v>
      </c>
      <c r="M265" s="7" t="b">
        <f t="shared" ca="1" si="23"/>
        <v>0</v>
      </c>
      <c r="N265" s="16" t="b">
        <f t="shared" ca="1" si="24"/>
        <v>0</v>
      </c>
    </row>
    <row r="266" spans="1:14" x14ac:dyDescent="0.35">
      <c r="A266" s="5">
        <v>265</v>
      </c>
      <c r="B266" s="12" t="s">
        <v>292</v>
      </c>
      <c r="C266" s="6">
        <v>44461</v>
      </c>
      <c r="D266" s="6" t="str">
        <f t="shared" si="20"/>
        <v>22</v>
      </c>
      <c r="E266" s="6" t="str">
        <f t="shared" si="21"/>
        <v>Sep</v>
      </c>
      <c r="F266" s="7" t="s">
        <v>20</v>
      </c>
      <c r="G266" s="7" t="s">
        <v>22</v>
      </c>
      <c r="H266" s="7" t="s">
        <v>15</v>
      </c>
      <c r="I266" s="8">
        <v>6</v>
      </c>
      <c r="J266" s="8">
        <v>1200</v>
      </c>
      <c r="K266" s="8">
        <f t="shared" si="22"/>
        <v>7200</v>
      </c>
      <c r="L266" s="5" t="s">
        <v>25</v>
      </c>
      <c r="M266" s="7" t="b">
        <f t="shared" ca="1" si="23"/>
        <v>0</v>
      </c>
      <c r="N266" s="16" t="b">
        <f t="shared" ca="1" si="24"/>
        <v>0</v>
      </c>
    </row>
    <row r="267" spans="1:14" x14ac:dyDescent="0.35">
      <c r="A267" s="5">
        <v>266</v>
      </c>
      <c r="B267" s="12" t="s">
        <v>293</v>
      </c>
      <c r="C267" s="6">
        <v>44462</v>
      </c>
      <c r="D267" s="6" t="str">
        <f t="shared" si="20"/>
        <v>23</v>
      </c>
      <c r="E267" s="6" t="str">
        <f t="shared" si="21"/>
        <v>Sep</v>
      </c>
      <c r="F267" s="7" t="s">
        <v>20</v>
      </c>
      <c r="G267" s="7" t="s">
        <v>23</v>
      </c>
      <c r="H267" s="7" t="s">
        <v>17</v>
      </c>
      <c r="I267" s="8">
        <v>5</v>
      </c>
      <c r="J267" s="8">
        <v>1500</v>
      </c>
      <c r="K267" s="8">
        <f t="shared" si="22"/>
        <v>7500</v>
      </c>
      <c r="L267" s="5" t="s">
        <v>26</v>
      </c>
      <c r="M267" s="7" t="b">
        <f t="shared" ca="1" si="23"/>
        <v>0</v>
      </c>
      <c r="N267" s="16" t="b">
        <f t="shared" ca="1" si="24"/>
        <v>0</v>
      </c>
    </row>
    <row r="268" spans="1:14" x14ac:dyDescent="0.35">
      <c r="A268" s="5">
        <v>267</v>
      </c>
      <c r="B268" s="12" t="s">
        <v>294</v>
      </c>
      <c r="C268" s="6">
        <v>44463</v>
      </c>
      <c r="D268" s="6" t="str">
        <f t="shared" si="20"/>
        <v>24</v>
      </c>
      <c r="E268" s="6" t="str">
        <f t="shared" si="21"/>
        <v>Sep</v>
      </c>
      <c r="F268" s="7" t="s">
        <v>20</v>
      </c>
      <c r="G268" s="7" t="s">
        <v>9</v>
      </c>
      <c r="H268" s="7" t="s">
        <v>13</v>
      </c>
      <c r="I268" s="8">
        <v>7</v>
      </c>
      <c r="J268" s="8">
        <v>2100</v>
      </c>
      <c r="K268" s="8">
        <f t="shared" si="22"/>
        <v>14700</v>
      </c>
      <c r="L268" s="5" t="s">
        <v>25</v>
      </c>
      <c r="M268" s="7" t="b">
        <f t="shared" ca="1" si="23"/>
        <v>0</v>
      </c>
      <c r="N268" s="16" t="b">
        <f t="shared" ca="1" si="24"/>
        <v>0</v>
      </c>
    </row>
    <row r="269" spans="1:14" x14ac:dyDescent="0.35">
      <c r="A269" s="5">
        <v>268</v>
      </c>
      <c r="B269" s="12" t="s">
        <v>295</v>
      </c>
      <c r="C269" s="6">
        <v>44464</v>
      </c>
      <c r="D269" s="6" t="str">
        <f t="shared" si="20"/>
        <v>25</v>
      </c>
      <c r="E269" s="6" t="str">
        <f t="shared" si="21"/>
        <v>Sep</v>
      </c>
      <c r="F269" s="7" t="s">
        <v>20</v>
      </c>
      <c r="G269" s="7" t="s">
        <v>12</v>
      </c>
      <c r="H269" s="7" t="s">
        <v>13</v>
      </c>
      <c r="I269" s="8">
        <v>7</v>
      </c>
      <c r="J269" s="8">
        <v>2100</v>
      </c>
      <c r="K269" s="8">
        <f t="shared" si="22"/>
        <v>14700</v>
      </c>
      <c r="L269" s="5" t="s">
        <v>26</v>
      </c>
      <c r="M269" s="7" t="b">
        <f t="shared" ca="1" si="23"/>
        <v>0</v>
      </c>
      <c r="N269" s="16" t="b">
        <f t="shared" ca="1" si="24"/>
        <v>0</v>
      </c>
    </row>
    <row r="270" spans="1:14" x14ac:dyDescent="0.35">
      <c r="A270" s="5">
        <v>269</v>
      </c>
      <c r="B270" s="12" t="s">
        <v>296</v>
      </c>
      <c r="C270" s="6">
        <v>44465</v>
      </c>
      <c r="D270" s="6" t="str">
        <f t="shared" si="20"/>
        <v>26</v>
      </c>
      <c r="E270" s="6" t="str">
        <f t="shared" si="21"/>
        <v>Sep</v>
      </c>
      <c r="F270" s="7" t="s">
        <v>20</v>
      </c>
      <c r="G270" s="7" t="s">
        <v>22</v>
      </c>
      <c r="H270" s="7" t="s">
        <v>13</v>
      </c>
      <c r="I270" s="8">
        <v>7</v>
      </c>
      <c r="J270" s="8">
        <v>2100</v>
      </c>
      <c r="K270" s="8">
        <f t="shared" si="22"/>
        <v>14700</v>
      </c>
      <c r="L270" s="5" t="s">
        <v>25</v>
      </c>
      <c r="M270" s="7" t="b">
        <f t="shared" ca="1" si="23"/>
        <v>0</v>
      </c>
      <c r="N270" s="16" t="b">
        <f t="shared" ca="1" si="24"/>
        <v>0</v>
      </c>
    </row>
    <row r="271" spans="1:14" x14ac:dyDescent="0.35">
      <c r="A271" s="5">
        <v>270</v>
      </c>
      <c r="B271" s="12" t="s">
        <v>297</v>
      </c>
      <c r="C271" s="6">
        <v>44466</v>
      </c>
      <c r="D271" s="6" t="str">
        <f t="shared" si="20"/>
        <v>27</v>
      </c>
      <c r="E271" s="6" t="str">
        <f t="shared" si="21"/>
        <v>Sep</v>
      </c>
      <c r="F271" s="7" t="s">
        <v>20</v>
      </c>
      <c r="G271" s="7" t="s">
        <v>23</v>
      </c>
      <c r="H271" s="7" t="s">
        <v>13</v>
      </c>
      <c r="I271" s="8">
        <v>7</v>
      </c>
      <c r="J271" s="8">
        <v>2100</v>
      </c>
      <c r="K271" s="8">
        <f t="shared" si="22"/>
        <v>14700</v>
      </c>
      <c r="L271" s="5" t="s">
        <v>26</v>
      </c>
      <c r="M271" s="7" t="b">
        <f t="shared" ca="1" si="23"/>
        <v>0</v>
      </c>
      <c r="N271" s="16" t="b">
        <f t="shared" ca="1" si="24"/>
        <v>0</v>
      </c>
    </row>
    <row r="272" spans="1:14" x14ac:dyDescent="0.35">
      <c r="A272" s="5">
        <v>271</v>
      </c>
      <c r="B272" s="12" t="s">
        <v>298</v>
      </c>
      <c r="C272" s="6">
        <v>44467</v>
      </c>
      <c r="D272" s="6" t="str">
        <f t="shared" si="20"/>
        <v>28</v>
      </c>
      <c r="E272" s="6" t="str">
        <f t="shared" si="21"/>
        <v>Sep</v>
      </c>
      <c r="F272" s="7" t="s">
        <v>8</v>
      </c>
      <c r="G272" s="7" t="s">
        <v>9</v>
      </c>
      <c r="H272" s="7" t="s">
        <v>13</v>
      </c>
      <c r="I272" s="8">
        <v>7</v>
      </c>
      <c r="J272" s="8">
        <v>2100</v>
      </c>
      <c r="K272" s="8">
        <f t="shared" si="22"/>
        <v>14700</v>
      </c>
      <c r="L272" s="5" t="s">
        <v>25</v>
      </c>
      <c r="M272" s="7" t="b">
        <f t="shared" ca="1" si="23"/>
        <v>0</v>
      </c>
      <c r="N272" s="16" t="b">
        <f t="shared" ca="1" si="24"/>
        <v>0</v>
      </c>
    </row>
    <row r="273" spans="1:14" x14ac:dyDescent="0.35">
      <c r="A273" s="5">
        <v>272</v>
      </c>
      <c r="B273" s="12" t="s">
        <v>299</v>
      </c>
      <c r="C273" s="6">
        <v>44468</v>
      </c>
      <c r="D273" s="6" t="str">
        <f t="shared" si="20"/>
        <v>29</v>
      </c>
      <c r="E273" s="6" t="str">
        <f t="shared" si="21"/>
        <v>Sep</v>
      </c>
      <c r="F273" s="7" t="s">
        <v>11</v>
      </c>
      <c r="G273" s="7" t="s">
        <v>12</v>
      </c>
      <c r="H273" s="7" t="s">
        <v>13</v>
      </c>
      <c r="I273" s="8">
        <v>7</v>
      </c>
      <c r="J273" s="8">
        <v>2100</v>
      </c>
      <c r="K273" s="8">
        <f t="shared" si="22"/>
        <v>14700</v>
      </c>
      <c r="L273" s="5" t="s">
        <v>26</v>
      </c>
      <c r="M273" s="7" t="b">
        <f t="shared" ca="1" si="23"/>
        <v>0</v>
      </c>
      <c r="N273" s="16" t="b">
        <f t="shared" ca="1" si="24"/>
        <v>0</v>
      </c>
    </row>
    <row r="274" spans="1:14" x14ac:dyDescent="0.35">
      <c r="A274" s="5">
        <v>273</v>
      </c>
      <c r="B274" s="12" t="s">
        <v>300</v>
      </c>
      <c r="C274" s="6">
        <v>44469</v>
      </c>
      <c r="D274" s="6" t="str">
        <f t="shared" si="20"/>
        <v>30</v>
      </c>
      <c r="E274" s="6" t="str">
        <f t="shared" si="21"/>
        <v>Sep</v>
      </c>
      <c r="F274" s="7" t="s">
        <v>14</v>
      </c>
      <c r="G274" s="7" t="s">
        <v>9</v>
      </c>
      <c r="H274" s="7" t="s">
        <v>13</v>
      </c>
      <c r="I274" s="8">
        <v>7</v>
      </c>
      <c r="J274" s="8">
        <v>2100</v>
      </c>
      <c r="K274" s="8">
        <f t="shared" si="22"/>
        <v>14700</v>
      </c>
      <c r="L274" s="5" t="s">
        <v>25</v>
      </c>
      <c r="M274" s="7" t="b">
        <f t="shared" ca="1" si="23"/>
        <v>0</v>
      </c>
      <c r="N274" s="16" t="b">
        <f t="shared" ca="1" si="24"/>
        <v>0</v>
      </c>
    </row>
    <row r="275" spans="1:14" x14ac:dyDescent="0.35">
      <c r="A275" s="5">
        <v>274</v>
      </c>
      <c r="B275" s="12" t="s">
        <v>301</v>
      </c>
      <c r="C275" s="6">
        <v>44470</v>
      </c>
      <c r="D275" s="6" t="str">
        <f t="shared" si="20"/>
        <v>01</v>
      </c>
      <c r="E275" s="6" t="str">
        <f t="shared" si="21"/>
        <v>Oct</v>
      </c>
      <c r="F275" s="7" t="s">
        <v>16</v>
      </c>
      <c r="G275" s="7" t="s">
        <v>12</v>
      </c>
      <c r="H275" s="7" t="s">
        <v>13</v>
      </c>
      <c r="I275" s="8">
        <v>7</v>
      </c>
      <c r="J275" s="8">
        <v>2100</v>
      </c>
      <c r="K275" s="8">
        <f t="shared" si="22"/>
        <v>14700</v>
      </c>
      <c r="L275" s="5" t="s">
        <v>26</v>
      </c>
      <c r="M275" s="7" t="b">
        <f t="shared" ca="1" si="23"/>
        <v>0</v>
      </c>
      <c r="N275" s="16" t="b">
        <f t="shared" ca="1" si="24"/>
        <v>0</v>
      </c>
    </row>
    <row r="276" spans="1:14" x14ac:dyDescent="0.35">
      <c r="A276" s="5">
        <v>275</v>
      </c>
      <c r="B276" s="12" t="s">
        <v>302</v>
      </c>
      <c r="C276" s="6">
        <v>44471</v>
      </c>
      <c r="D276" s="6" t="str">
        <f t="shared" si="20"/>
        <v>02</v>
      </c>
      <c r="E276" s="6" t="str">
        <f t="shared" si="21"/>
        <v>Oct</v>
      </c>
      <c r="F276" s="7" t="s">
        <v>18</v>
      </c>
      <c r="G276" s="7" t="s">
        <v>9</v>
      </c>
      <c r="H276" s="7" t="s">
        <v>13</v>
      </c>
      <c r="I276" s="8">
        <v>7</v>
      </c>
      <c r="J276" s="8">
        <v>2100</v>
      </c>
      <c r="K276" s="8">
        <f t="shared" si="22"/>
        <v>14700</v>
      </c>
      <c r="L276" s="5" t="s">
        <v>25</v>
      </c>
      <c r="M276" s="7" t="b">
        <f t="shared" ca="1" si="23"/>
        <v>0</v>
      </c>
      <c r="N276" s="16" t="b">
        <f t="shared" ca="1" si="24"/>
        <v>0</v>
      </c>
    </row>
    <row r="277" spans="1:14" x14ac:dyDescent="0.35">
      <c r="A277" s="5">
        <v>276</v>
      </c>
      <c r="B277" s="12" t="s">
        <v>303</v>
      </c>
      <c r="C277" s="6">
        <v>44472</v>
      </c>
      <c r="D277" s="6" t="str">
        <f t="shared" si="20"/>
        <v>03</v>
      </c>
      <c r="E277" s="6" t="str">
        <f t="shared" si="21"/>
        <v>Oct</v>
      </c>
      <c r="F277" s="7" t="s">
        <v>20</v>
      </c>
      <c r="G277" s="7" t="s">
        <v>9</v>
      </c>
      <c r="H277" s="7" t="s">
        <v>13</v>
      </c>
      <c r="I277" s="8">
        <v>7</v>
      </c>
      <c r="J277" s="8">
        <v>2100</v>
      </c>
      <c r="K277" s="8">
        <f t="shared" si="22"/>
        <v>14700</v>
      </c>
      <c r="L277" s="5" t="s">
        <v>26</v>
      </c>
      <c r="M277" s="7" t="b">
        <f t="shared" ca="1" si="23"/>
        <v>0</v>
      </c>
      <c r="N277" s="16" t="b">
        <f t="shared" ca="1" si="24"/>
        <v>0</v>
      </c>
    </row>
    <row r="278" spans="1:14" x14ac:dyDescent="0.35">
      <c r="A278" s="5">
        <v>277</v>
      </c>
      <c r="B278" s="12" t="s">
        <v>304</v>
      </c>
      <c r="C278" s="6">
        <v>44473</v>
      </c>
      <c r="D278" s="6" t="str">
        <f t="shared" si="20"/>
        <v>04</v>
      </c>
      <c r="E278" s="6" t="str">
        <f t="shared" si="21"/>
        <v>Oct</v>
      </c>
      <c r="F278" s="7" t="s">
        <v>8</v>
      </c>
      <c r="G278" s="7" t="s">
        <v>9</v>
      </c>
      <c r="H278" s="7" t="s">
        <v>13</v>
      </c>
      <c r="I278" s="8">
        <v>7</v>
      </c>
      <c r="J278" s="8">
        <v>2100</v>
      </c>
      <c r="K278" s="8">
        <f t="shared" si="22"/>
        <v>14700</v>
      </c>
      <c r="L278" s="5" t="s">
        <v>25</v>
      </c>
      <c r="M278" s="7" t="b">
        <f t="shared" ca="1" si="23"/>
        <v>0</v>
      </c>
      <c r="N278" s="16" t="b">
        <f t="shared" ca="1" si="24"/>
        <v>0</v>
      </c>
    </row>
    <row r="279" spans="1:14" x14ac:dyDescent="0.35">
      <c r="A279" s="5">
        <v>278</v>
      </c>
      <c r="B279" s="12" t="s">
        <v>305</v>
      </c>
      <c r="C279" s="6">
        <v>44474</v>
      </c>
      <c r="D279" s="6" t="str">
        <f t="shared" si="20"/>
        <v>05</v>
      </c>
      <c r="E279" s="6" t="str">
        <f t="shared" si="21"/>
        <v>Oct</v>
      </c>
      <c r="F279" s="7" t="s">
        <v>11</v>
      </c>
      <c r="G279" s="7" t="s">
        <v>12</v>
      </c>
      <c r="H279" s="7" t="s">
        <v>15</v>
      </c>
      <c r="I279" s="8">
        <v>5</v>
      </c>
      <c r="J279" s="8">
        <v>1200</v>
      </c>
      <c r="K279" s="8">
        <f t="shared" si="22"/>
        <v>6000</v>
      </c>
      <c r="L279" s="5" t="s">
        <v>26</v>
      </c>
      <c r="M279" s="7" t="b">
        <f t="shared" ca="1" si="23"/>
        <v>0</v>
      </c>
      <c r="N279" s="16" t="b">
        <f t="shared" ca="1" si="24"/>
        <v>0</v>
      </c>
    </row>
    <row r="280" spans="1:14" x14ac:dyDescent="0.35">
      <c r="A280" s="5">
        <v>279</v>
      </c>
      <c r="B280" s="12" t="s">
        <v>306</v>
      </c>
      <c r="C280" s="6">
        <v>44475</v>
      </c>
      <c r="D280" s="6" t="str">
        <f t="shared" si="20"/>
        <v>06</v>
      </c>
      <c r="E280" s="6" t="str">
        <f t="shared" si="21"/>
        <v>Oct</v>
      </c>
      <c r="F280" s="7" t="s">
        <v>14</v>
      </c>
      <c r="G280" s="7" t="s">
        <v>12</v>
      </c>
      <c r="H280" s="7" t="s">
        <v>17</v>
      </c>
      <c r="I280" s="8">
        <v>4</v>
      </c>
      <c r="J280" s="8">
        <v>1500</v>
      </c>
      <c r="K280" s="8">
        <f t="shared" si="22"/>
        <v>6000</v>
      </c>
      <c r="L280" s="5" t="s">
        <v>25</v>
      </c>
      <c r="M280" s="7" t="b">
        <f t="shared" ca="1" si="23"/>
        <v>0</v>
      </c>
      <c r="N280" s="16" t="b">
        <f t="shared" ca="1" si="24"/>
        <v>0</v>
      </c>
    </row>
    <row r="281" spans="1:14" x14ac:dyDescent="0.35">
      <c r="A281" s="5">
        <v>280</v>
      </c>
      <c r="B281" s="12" t="s">
        <v>307</v>
      </c>
      <c r="C281" s="6">
        <v>44476</v>
      </c>
      <c r="D281" s="6" t="str">
        <f t="shared" si="20"/>
        <v>07</v>
      </c>
      <c r="E281" s="6" t="str">
        <f t="shared" si="21"/>
        <v>Oct</v>
      </c>
      <c r="F281" s="7" t="s">
        <v>16</v>
      </c>
      <c r="G281" s="7" t="s">
        <v>9</v>
      </c>
      <c r="H281" s="7" t="s">
        <v>19</v>
      </c>
      <c r="I281" s="8">
        <v>3</v>
      </c>
      <c r="J281" s="8">
        <v>300</v>
      </c>
      <c r="K281" s="8">
        <f t="shared" si="22"/>
        <v>900</v>
      </c>
      <c r="L281" s="5" t="s">
        <v>26</v>
      </c>
      <c r="M281" s="7" t="b">
        <f t="shared" ca="1" si="23"/>
        <v>0</v>
      </c>
      <c r="N281" s="16" t="b">
        <f t="shared" ca="1" si="24"/>
        <v>0</v>
      </c>
    </row>
    <row r="282" spans="1:14" x14ac:dyDescent="0.35">
      <c r="A282" s="5">
        <v>281</v>
      </c>
      <c r="B282" s="12" t="s">
        <v>308</v>
      </c>
      <c r="C282" s="6">
        <v>44477</v>
      </c>
      <c r="D282" s="6" t="str">
        <f t="shared" si="20"/>
        <v>08</v>
      </c>
      <c r="E282" s="6" t="str">
        <f t="shared" si="21"/>
        <v>Oct</v>
      </c>
      <c r="F282" s="7" t="s">
        <v>18</v>
      </c>
      <c r="G282" s="7" t="s">
        <v>9</v>
      </c>
      <c r="H282" s="7" t="s">
        <v>21</v>
      </c>
      <c r="I282" s="8">
        <v>2</v>
      </c>
      <c r="J282" s="8">
        <v>190</v>
      </c>
      <c r="K282" s="8">
        <f t="shared" si="22"/>
        <v>380</v>
      </c>
      <c r="L282" s="5" t="s">
        <v>25</v>
      </c>
      <c r="M282" s="7" t="b">
        <f t="shared" ca="1" si="23"/>
        <v>0</v>
      </c>
      <c r="N282" s="16" t="b">
        <f t="shared" ca="1" si="24"/>
        <v>0</v>
      </c>
    </row>
    <row r="283" spans="1:14" x14ac:dyDescent="0.35">
      <c r="A283" s="5">
        <v>282</v>
      </c>
      <c r="B283" s="12" t="s">
        <v>309</v>
      </c>
      <c r="C283" s="6">
        <v>44478</v>
      </c>
      <c r="D283" s="6" t="str">
        <f t="shared" si="20"/>
        <v>09</v>
      </c>
      <c r="E283" s="6" t="str">
        <f t="shared" si="21"/>
        <v>Oct</v>
      </c>
      <c r="F283" s="7" t="s">
        <v>20</v>
      </c>
      <c r="G283" s="7" t="s">
        <v>12</v>
      </c>
      <c r="H283" s="7" t="s">
        <v>10</v>
      </c>
      <c r="I283" s="8">
        <v>7</v>
      </c>
      <c r="J283" s="8">
        <v>210</v>
      </c>
      <c r="K283" s="8">
        <f t="shared" si="22"/>
        <v>1470</v>
      </c>
      <c r="L283" s="5" t="s">
        <v>26</v>
      </c>
      <c r="M283" s="7" t="b">
        <f t="shared" ca="1" si="23"/>
        <v>0</v>
      </c>
      <c r="N283" s="16" t="b">
        <f t="shared" ca="1" si="24"/>
        <v>0</v>
      </c>
    </row>
    <row r="284" spans="1:14" x14ac:dyDescent="0.35">
      <c r="A284" s="5">
        <v>283</v>
      </c>
      <c r="B284" s="12" t="s">
        <v>310</v>
      </c>
      <c r="C284" s="6">
        <v>44479</v>
      </c>
      <c r="D284" s="6" t="str">
        <f t="shared" si="20"/>
        <v>10</v>
      </c>
      <c r="E284" s="6" t="str">
        <f t="shared" si="21"/>
        <v>Oct</v>
      </c>
      <c r="F284" s="7" t="s">
        <v>20</v>
      </c>
      <c r="G284" s="7" t="s">
        <v>9</v>
      </c>
      <c r="H284" s="7" t="s">
        <v>13</v>
      </c>
      <c r="I284" s="8">
        <v>6</v>
      </c>
      <c r="J284" s="8">
        <v>2100</v>
      </c>
      <c r="K284" s="8">
        <f t="shared" si="22"/>
        <v>12600</v>
      </c>
      <c r="L284" s="5" t="s">
        <v>25</v>
      </c>
      <c r="M284" s="7" t="b">
        <f t="shared" ca="1" si="23"/>
        <v>0</v>
      </c>
      <c r="N284" s="16" t="b">
        <f t="shared" ca="1" si="24"/>
        <v>0</v>
      </c>
    </row>
    <row r="285" spans="1:14" x14ac:dyDescent="0.35">
      <c r="A285" s="5">
        <v>284</v>
      </c>
      <c r="B285" s="12" t="s">
        <v>311</v>
      </c>
      <c r="C285" s="6">
        <v>44480</v>
      </c>
      <c r="D285" s="6" t="str">
        <f t="shared" si="20"/>
        <v>11</v>
      </c>
      <c r="E285" s="6" t="str">
        <f t="shared" si="21"/>
        <v>Oct</v>
      </c>
      <c r="F285" s="7" t="s">
        <v>8</v>
      </c>
      <c r="G285" s="7" t="s">
        <v>9</v>
      </c>
      <c r="H285" s="7" t="s">
        <v>15</v>
      </c>
      <c r="I285" s="8">
        <v>5</v>
      </c>
      <c r="J285" s="8">
        <v>1200</v>
      </c>
      <c r="K285" s="8">
        <f t="shared" si="22"/>
        <v>6000</v>
      </c>
      <c r="L285" s="5" t="s">
        <v>26</v>
      </c>
      <c r="M285" s="7" t="b">
        <f t="shared" ca="1" si="23"/>
        <v>0</v>
      </c>
      <c r="N285" s="16" t="b">
        <f t="shared" ca="1" si="24"/>
        <v>0</v>
      </c>
    </row>
    <row r="286" spans="1:14" x14ac:dyDescent="0.35">
      <c r="A286" s="5">
        <v>285</v>
      </c>
      <c r="B286" s="12" t="s">
        <v>312</v>
      </c>
      <c r="C286" s="6">
        <v>44481</v>
      </c>
      <c r="D286" s="6" t="str">
        <f t="shared" si="20"/>
        <v>12</v>
      </c>
      <c r="E286" s="6" t="str">
        <f t="shared" si="21"/>
        <v>Oct</v>
      </c>
      <c r="F286" s="7" t="s">
        <v>11</v>
      </c>
      <c r="G286" s="7" t="s">
        <v>9</v>
      </c>
      <c r="H286" s="7" t="s">
        <v>17</v>
      </c>
      <c r="I286" s="8">
        <v>4</v>
      </c>
      <c r="J286" s="8">
        <v>1500</v>
      </c>
      <c r="K286" s="8">
        <f t="shared" si="22"/>
        <v>6000</v>
      </c>
      <c r="L286" s="5" t="s">
        <v>25</v>
      </c>
      <c r="M286" s="7" t="b">
        <f t="shared" ca="1" si="23"/>
        <v>0</v>
      </c>
      <c r="N286" s="16" t="b">
        <f t="shared" ca="1" si="24"/>
        <v>0</v>
      </c>
    </row>
    <row r="287" spans="1:14" x14ac:dyDescent="0.35">
      <c r="A287" s="5">
        <v>286</v>
      </c>
      <c r="B287" s="12" t="s">
        <v>313</v>
      </c>
      <c r="C287" s="6">
        <v>44482</v>
      </c>
      <c r="D287" s="6" t="str">
        <f t="shared" si="20"/>
        <v>13</v>
      </c>
      <c r="E287" s="6" t="str">
        <f t="shared" si="21"/>
        <v>Oct</v>
      </c>
      <c r="F287" s="7" t="s">
        <v>14</v>
      </c>
      <c r="G287" s="7" t="s">
        <v>9</v>
      </c>
      <c r="H287" s="7" t="s">
        <v>19</v>
      </c>
      <c r="I287" s="8">
        <v>3</v>
      </c>
      <c r="J287" s="8">
        <v>300</v>
      </c>
      <c r="K287" s="8">
        <f t="shared" si="22"/>
        <v>900</v>
      </c>
      <c r="L287" s="5" t="s">
        <v>26</v>
      </c>
      <c r="M287" s="7" t="b">
        <f t="shared" ca="1" si="23"/>
        <v>0</v>
      </c>
      <c r="N287" s="16" t="b">
        <f t="shared" ca="1" si="24"/>
        <v>0</v>
      </c>
    </row>
    <row r="288" spans="1:14" x14ac:dyDescent="0.35">
      <c r="A288" s="5">
        <v>287</v>
      </c>
      <c r="B288" s="12" t="s">
        <v>314</v>
      </c>
      <c r="C288" s="6">
        <v>44483</v>
      </c>
      <c r="D288" s="6" t="str">
        <f t="shared" si="20"/>
        <v>14</v>
      </c>
      <c r="E288" s="6" t="str">
        <f t="shared" si="21"/>
        <v>Oct</v>
      </c>
      <c r="F288" s="7" t="s">
        <v>16</v>
      </c>
      <c r="G288" s="7" t="s">
        <v>9</v>
      </c>
      <c r="H288" s="7" t="s">
        <v>21</v>
      </c>
      <c r="I288" s="8">
        <v>2</v>
      </c>
      <c r="J288" s="8">
        <v>190</v>
      </c>
      <c r="K288" s="8">
        <f t="shared" si="22"/>
        <v>380</v>
      </c>
      <c r="L288" s="5" t="s">
        <v>25</v>
      </c>
      <c r="M288" s="7" t="b">
        <f t="shared" ca="1" si="23"/>
        <v>0</v>
      </c>
      <c r="N288" s="16" t="b">
        <f t="shared" ca="1" si="24"/>
        <v>0</v>
      </c>
    </row>
    <row r="289" spans="1:14" x14ac:dyDescent="0.35">
      <c r="A289" s="5">
        <v>288</v>
      </c>
      <c r="B289" s="12" t="s">
        <v>315</v>
      </c>
      <c r="C289" s="6">
        <v>44484</v>
      </c>
      <c r="D289" s="6" t="str">
        <f t="shared" si="20"/>
        <v>15</v>
      </c>
      <c r="E289" s="6" t="str">
        <f t="shared" si="21"/>
        <v>Oct</v>
      </c>
      <c r="F289" s="7" t="s">
        <v>18</v>
      </c>
      <c r="G289" s="7" t="s">
        <v>9</v>
      </c>
      <c r="H289" s="7" t="s">
        <v>10</v>
      </c>
      <c r="I289" s="8">
        <v>2</v>
      </c>
      <c r="J289" s="8">
        <v>210</v>
      </c>
      <c r="K289" s="8">
        <f t="shared" si="22"/>
        <v>420</v>
      </c>
      <c r="L289" s="5" t="s">
        <v>26</v>
      </c>
      <c r="M289" s="7" t="b">
        <f t="shared" ca="1" si="23"/>
        <v>0</v>
      </c>
      <c r="N289" s="16" t="b">
        <f t="shared" ca="1" si="24"/>
        <v>0</v>
      </c>
    </row>
    <row r="290" spans="1:14" x14ac:dyDescent="0.35">
      <c r="A290" s="5">
        <v>289</v>
      </c>
      <c r="B290" s="12" t="s">
        <v>316</v>
      </c>
      <c r="C290" s="6">
        <v>44485</v>
      </c>
      <c r="D290" s="6" t="str">
        <f t="shared" si="20"/>
        <v>16</v>
      </c>
      <c r="E290" s="6" t="str">
        <f t="shared" si="21"/>
        <v>Oct</v>
      </c>
      <c r="F290" s="7" t="s">
        <v>20</v>
      </c>
      <c r="G290" s="7" t="s">
        <v>9</v>
      </c>
      <c r="H290" s="7" t="s">
        <v>13</v>
      </c>
      <c r="I290" s="8">
        <v>7</v>
      </c>
      <c r="J290" s="8">
        <v>2100</v>
      </c>
      <c r="K290" s="8">
        <f t="shared" si="22"/>
        <v>14700</v>
      </c>
      <c r="L290" s="5" t="s">
        <v>25</v>
      </c>
      <c r="M290" s="7" t="b">
        <f t="shared" ca="1" si="23"/>
        <v>0</v>
      </c>
      <c r="N290" s="16" t="b">
        <f t="shared" ca="1" si="24"/>
        <v>0</v>
      </c>
    </row>
    <row r="291" spans="1:14" x14ac:dyDescent="0.35">
      <c r="A291" s="5">
        <v>290</v>
      </c>
      <c r="B291" s="12" t="s">
        <v>317</v>
      </c>
      <c r="C291" s="6">
        <v>44486</v>
      </c>
      <c r="D291" s="6" t="str">
        <f t="shared" si="20"/>
        <v>17</v>
      </c>
      <c r="E291" s="6" t="str">
        <f t="shared" si="21"/>
        <v>Oct</v>
      </c>
      <c r="F291" s="7" t="s">
        <v>8</v>
      </c>
      <c r="G291" s="7" t="s">
        <v>9</v>
      </c>
      <c r="H291" s="7" t="s">
        <v>15</v>
      </c>
      <c r="I291" s="8">
        <v>6</v>
      </c>
      <c r="J291" s="8">
        <v>1200</v>
      </c>
      <c r="K291" s="8">
        <f t="shared" si="22"/>
        <v>7200</v>
      </c>
      <c r="L291" s="5" t="s">
        <v>26</v>
      </c>
      <c r="M291" s="7" t="b">
        <f t="shared" ca="1" si="23"/>
        <v>0</v>
      </c>
      <c r="N291" s="16" t="b">
        <f t="shared" ca="1" si="24"/>
        <v>0</v>
      </c>
    </row>
    <row r="292" spans="1:14" x14ac:dyDescent="0.35">
      <c r="A292" s="5">
        <v>291</v>
      </c>
      <c r="B292" s="12" t="s">
        <v>318</v>
      </c>
      <c r="C292" s="6">
        <v>44487</v>
      </c>
      <c r="D292" s="6" t="str">
        <f t="shared" si="20"/>
        <v>18</v>
      </c>
      <c r="E292" s="6" t="str">
        <f t="shared" si="21"/>
        <v>Oct</v>
      </c>
      <c r="F292" s="7" t="s">
        <v>11</v>
      </c>
      <c r="G292" s="7" t="s">
        <v>12</v>
      </c>
      <c r="H292" s="7" t="s">
        <v>17</v>
      </c>
      <c r="I292" s="8">
        <v>5</v>
      </c>
      <c r="J292" s="8">
        <v>1500</v>
      </c>
      <c r="K292" s="8">
        <f t="shared" si="22"/>
        <v>7500</v>
      </c>
      <c r="L292" s="5" t="s">
        <v>25</v>
      </c>
      <c r="M292" s="7" t="b">
        <f t="shared" ca="1" si="23"/>
        <v>0</v>
      </c>
      <c r="N292" s="16" t="b">
        <f t="shared" ca="1" si="24"/>
        <v>0</v>
      </c>
    </row>
    <row r="293" spans="1:14" x14ac:dyDescent="0.35">
      <c r="A293" s="5">
        <v>292</v>
      </c>
      <c r="B293" s="12" t="s">
        <v>319</v>
      </c>
      <c r="C293" s="6">
        <v>44488</v>
      </c>
      <c r="D293" s="6" t="str">
        <f t="shared" si="20"/>
        <v>19</v>
      </c>
      <c r="E293" s="6" t="str">
        <f t="shared" si="21"/>
        <v>Oct</v>
      </c>
      <c r="F293" s="7" t="s">
        <v>14</v>
      </c>
      <c r="G293" s="7" t="s">
        <v>9</v>
      </c>
      <c r="H293" s="7" t="s">
        <v>19</v>
      </c>
      <c r="I293" s="8">
        <v>4</v>
      </c>
      <c r="J293" s="8">
        <v>300</v>
      </c>
      <c r="K293" s="8">
        <f t="shared" si="22"/>
        <v>1200</v>
      </c>
      <c r="L293" s="5" t="s">
        <v>26</v>
      </c>
      <c r="M293" s="7" t="b">
        <f t="shared" ca="1" si="23"/>
        <v>0</v>
      </c>
      <c r="N293" s="16" t="b">
        <f t="shared" ca="1" si="24"/>
        <v>0</v>
      </c>
    </row>
    <row r="294" spans="1:14" x14ac:dyDescent="0.35">
      <c r="A294" s="5">
        <v>293</v>
      </c>
      <c r="B294" s="12" t="s">
        <v>320</v>
      </c>
      <c r="C294" s="6">
        <v>44489</v>
      </c>
      <c r="D294" s="6" t="str">
        <f t="shared" si="20"/>
        <v>20</v>
      </c>
      <c r="E294" s="6" t="str">
        <f t="shared" si="21"/>
        <v>Oct</v>
      </c>
      <c r="F294" s="7" t="s">
        <v>16</v>
      </c>
      <c r="G294" s="7" t="s">
        <v>12</v>
      </c>
      <c r="H294" s="7" t="s">
        <v>17</v>
      </c>
      <c r="I294" s="8">
        <v>5</v>
      </c>
      <c r="J294" s="8">
        <v>1500</v>
      </c>
      <c r="K294" s="8">
        <f t="shared" si="22"/>
        <v>7500</v>
      </c>
      <c r="L294" s="5" t="s">
        <v>25</v>
      </c>
      <c r="M294" s="7" t="b">
        <f t="shared" ca="1" si="23"/>
        <v>0</v>
      </c>
      <c r="N294" s="16" t="b">
        <f t="shared" ca="1" si="24"/>
        <v>0</v>
      </c>
    </row>
    <row r="295" spans="1:14" x14ac:dyDescent="0.35">
      <c r="A295" s="5">
        <v>294</v>
      </c>
      <c r="B295" s="12" t="s">
        <v>321</v>
      </c>
      <c r="C295" s="6">
        <v>44490</v>
      </c>
      <c r="D295" s="6" t="str">
        <f t="shared" si="20"/>
        <v>21</v>
      </c>
      <c r="E295" s="6" t="str">
        <f t="shared" si="21"/>
        <v>Oct</v>
      </c>
      <c r="F295" s="7" t="s">
        <v>18</v>
      </c>
      <c r="G295" s="7" t="s">
        <v>9</v>
      </c>
      <c r="H295" s="7" t="s">
        <v>19</v>
      </c>
      <c r="I295" s="8">
        <v>4</v>
      </c>
      <c r="J295" s="8">
        <v>300</v>
      </c>
      <c r="K295" s="8">
        <f t="shared" si="22"/>
        <v>1200</v>
      </c>
      <c r="L295" s="5" t="s">
        <v>26</v>
      </c>
      <c r="M295" s="7" t="b">
        <f t="shared" ca="1" si="23"/>
        <v>0</v>
      </c>
      <c r="N295" s="16" t="b">
        <f t="shared" ca="1" si="24"/>
        <v>0</v>
      </c>
    </row>
    <row r="296" spans="1:14" x14ac:dyDescent="0.35">
      <c r="A296" s="5">
        <v>295</v>
      </c>
      <c r="B296" s="12" t="s">
        <v>322</v>
      </c>
      <c r="C296" s="6">
        <v>44491</v>
      </c>
      <c r="D296" s="6" t="str">
        <f t="shared" si="20"/>
        <v>22</v>
      </c>
      <c r="E296" s="6" t="str">
        <f t="shared" si="21"/>
        <v>Oct</v>
      </c>
      <c r="F296" s="7" t="s">
        <v>20</v>
      </c>
      <c r="G296" s="7" t="s">
        <v>9</v>
      </c>
      <c r="H296" s="7" t="s">
        <v>17</v>
      </c>
      <c r="I296" s="8">
        <v>5</v>
      </c>
      <c r="J296" s="8">
        <v>1500</v>
      </c>
      <c r="K296" s="8">
        <f t="shared" si="22"/>
        <v>7500</v>
      </c>
      <c r="L296" s="5" t="s">
        <v>25</v>
      </c>
      <c r="M296" s="7" t="b">
        <f t="shared" ca="1" si="23"/>
        <v>0</v>
      </c>
      <c r="N296" s="16" t="b">
        <f t="shared" ca="1" si="24"/>
        <v>0</v>
      </c>
    </row>
    <row r="297" spans="1:14" x14ac:dyDescent="0.35">
      <c r="A297" s="5">
        <v>296</v>
      </c>
      <c r="B297" s="12" t="s">
        <v>323</v>
      </c>
      <c r="C297" s="6">
        <v>44492</v>
      </c>
      <c r="D297" s="6" t="str">
        <f t="shared" si="20"/>
        <v>23</v>
      </c>
      <c r="E297" s="6" t="str">
        <f t="shared" si="21"/>
        <v>Oct</v>
      </c>
      <c r="F297" s="7" t="s">
        <v>20</v>
      </c>
      <c r="G297" s="7" t="s">
        <v>9</v>
      </c>
      <c r="H297" s="7" t="s">
        <v>19</v>
      </c>
      <c r="I297" s="8">
        <v>4</v>
      </c>
      <c r="J297" s="8">
        <v>300</v>
      </c>
      <c r="K297" s="8">
        <f t="shared" si="22"/>
        <v>1200</v>
      </c>
      <c r="L297" s="5" t="s">
        <v>26</v>
      </c>
      <c r="M297" s="7" t="b">
        <f t="shared" ca="1" si="23"/>
        <v>0</v>
      </c>
      <c r="N297" s="16" t="b">
        <f t="shared" ca="1" si="24"/>
        <v>0</v>
      </c>
    </row>
    <row r="298" spans="1:14" x14ac:dyDescent="0.35">
      <c r="A298" s="5">
        <v>297</v>
      </c>
      <c r="B298" s="12" t="s">
        <v>324</v>
      </c>
      <c r="C298" s="6">
        <v>44493</v>
      </c>
      <c r="D298" s="6" t="str">
        <f t="shared" si="20"/>
        <v>24</v>
      </c>
      <c r="E298" s="6" t="str">
        <f t="shared" si="21"/>
        <v>Oct</v>
      </c>
      <c r="F298" s="7" t="s">
        <v>8</v>
      </c>
      <c r="G298" s="7" t="s">
        <v>9</v>
      </c>
      <c r="H298" s="7" t="s">
        <v>17</v>
      </c>
      <c r="I298" s="8">
        <v>5</v>
      </c>
      <c r="J298" s="8">
        <v>1500</v>
      </c>
      <c r="K298" s="8">
        <f t="shared" si="22"/>
        <v>7500</v>
      </c>
      <c r="L298" s="5" t="s">
        <v>25</v>
      </c>
      <c r="M298" s="7" t="b">
        <f t="shared" ca="1" si="23"/>
        <v>0</v>
      </c>
      <c r="N298" s="16" t="b">
        <f t="shared" ca="1" si="24"/>
        <v>0</v>
      </c>
    </row>
    <row r="299" spans="1:14" x14ac:dyDescent="0.35">
      <c r="A299" s="5">
        <v>298</v>
      </c>
      <c r="B299" s="12" t="s">
        <v>325</v>
      </c>
      <c r="C299" s="6">
        <v>44494</v>
      </c>
      <c r="D299" s="6" t="str">
        <f t="shared" si="20"/>
        <v>25</v>
      </c>
      <c r="E299" s="6" t="str">
        <f t="shared" si="21"/>
        <v>Oct</v>
      </c>
      <c r="F299" s="7" t="s">
        <v>8</v>
      </c>
      <c r="G299" s="7" t="s">
        <v>12</v>
      </c>
      <c r="H299" s="7" t="s">
        <v>19</v>
      </c>
      <c r="I299" s="8">
        <v>4</v>
      </c>
      <c r="J299" s="8">
        <v>300</v>
      </c>
      <c r="K299" s="8">
        <f t="shared" si="22"/>
        <v>1200</v>
      </c>
      <c r="L299" s="5" t="s">
        <v>26</v>
      </c>
      <c r="M299" s="7" t="b">
        <f t="shared" ca="1" si="23"/>
        <v>0</v>
      </c>
      <c r="N299" s="16" t="b">
        <f t="shared" ca="1" si="24"/>
        <v>0</v>
      </c>
    </row>
    <row r="300" spans="1:14" x14ac:dyDescent="0.35">
      <c r="A300" s="5">
        <v>299</v>
      </c>
      <c r="B300" s="12" t="s">
        <v>326</v>
      </c>
      <c r="C300" s="6">
        <v>44495</v>
      </c>
      <c r="D300" s="6" t="str">
        <f t="shared" si="20"/>
        <v>26</v>
      </c>
      <c r="E300" s="6" t="str">
        <f t="shared" si="21"/>
        <v>Oct</v>
      </c>
      <c r="F300" s="7" t="s">
        <v>8</v>
      </c>
      <c r="G300" s="7" t="s">
        <v>22</v>
      </c>
      <c r="H300" s="7" t="s">
        <v>17</v>
      </c>
      <c r="I300" s="8">
        <v>5</v>
      </c>
      <c r="J300" s="8">
        <v>1500</v>
      </c>
      <c r="K300" s="8">
        <f t="shared" si="22"/>
        <v>7500</v>
      </c>
      <c r="L300" s="5" t="s">
        <v>25</v>
      </c>
      <c r="M300" s="7" t="b">
        <f t="shared" ca="1" si="23"/>
        <v>0</v>
      </c>
      <c r="N300" s="16" t="b">
        <f t="shared" ca="1" si="24"/>
        <v>0</v>
      </c>
    </row>
    <row r="301" spans="1:14" x14ac:dyDescent="0.35">
      <c r="A301" s="5">
        <v>300</v>
      </c>
      <c r="B301" s="12" t="s">
        <v>327</v>
      </c>
      <c r="C301" s="6">
        <v>44496</v>
      </c>
      <c r="D301" s="6" t="str">
        <f t="shared" si="20"/>
        <v>27</v>
      </c>
      <c r="E301" s="6" t="str">
        <f t="shared" si="21"/>
        <v>Oct</v>
      </c>
      <c r="F301" s="7" t="s">
        <v>8</v>
      </c>
      <c r="G301" s="7" t="s">
        <v>23</v>
      </c>
      <c r="H301" s="7" t="s">
        <v>19</v>
      </c>
      <c r="I301" s="8">
        <v>4</v>
      </c>
      <c r="J301" s="8">
        <v>300</v>
      </c>
      <c r="K301" s="8">
        <f t="shared" si="22"/>
        <v>1200</v>
      </c>
      <c r="L301" s="5" t="s">
        <v>26</v>
      </c>
      <c r="M301" s="7" t="b">
        <f t="shared" ca="1" si="23"/>
        <v>0</v>
      </c>
      <c r="N301" s="16" t="b">
        <f t="shared" ca="1" si="24"/>
        <v>0</v>
      </c>
    </row>
    <row r="302" spans="1:14" x14ac:dyDescent="0.35">
      <c r="A302" s="5">
        <v>301</v>
      </c>
      <c r="B302" s="12" t="s">
        <v>328</v>
      </c>
      <c r="C302" s="6">
        <v>44497</v>
      </c>
      <c r="D302" s="6" t="str">
        <f t="shared" si="20"/>
        <v>28</v>
      </c>
      <c r="E302" s="6" t="str">
        <f t="shared" si="21"/>
        <v>Oct</v>
      </c>
      <c r="F302" s="7" t="s">
        <v>8</v>
      </c>
      <c r="G302" s="7" t="s">
        <v>9</v>
      </c>
      <c r="H302" s="7" t="s">
        <v>17</v>
      </c>
      <c r="I302" s="8">
        <v>5</v>
      </c>
      <c r="J302" s="8">
        <v>1500</v>
      </c>
      <c r="K302" s="8">
        <f t="shared" si="22"/>
        <v>7500</v>
      </c>
      <c r="L302" s="5" t="s">
        <v>25</v>
      </c>
      <c r="M302" s="7" t="b">
        <f t="shared" ca="1" si="23"/>
        <v>0</v>
      </c>
      <c r="N302" s="16" t="b">
        <f t="shared" ca="1" si="24"/>
        <v>0</v>
      </c>
    </row>
    <row r="303" spans="1:14" x14ac:dyDescent="0.35">
      <c r="A303" s="5">
        <v>302</v>
      </c>
      <c r="B303" s="12" t="s">
        <v>329</v>
      </c>
      <c r="C303" s="6">
        <v>44498</v>
      </c>
      <c r="D303" s="6" t="str">
        <f t="shared" si="20"/>
        <v>29</v>
      </c>
      <c r="E303" s="6" t="str">
        <f t="shared" si="21"/>
        <v>Oct</v>
      </c>
      <c r="F303" s="7" t="s">
        <v>8</v>
      </c>
      <c r="G303" s="7" t="s">
        <v>12</v>
      </c>
      <c r="H303" s="7" t="s">
        <v>13</v>
      </c>
      <c r="I303" s="8">
        <v>6</v>
      </c>
      <c r="J303" s="8">
        <v>2100</v>
      </c>
      <c r="K303" s="8">
        <f t="shared" si="22"/>
        <v>12600</v>
      </c>
      <c r="L303" s="5" t="s">
        <v>26</v>
      </c>
      <c r="M303" s="7" t="b">
        <f t="shared" ca="1" si="23"/>
        <v>0</v>
      </c>
      <c r="N303" s="16" t="b">
        <f t="shared" ca="1" si="24"/>
        <v>0</v>
      </c>
    </row>
    <row r="304" spans="1:14" x14ac:dyDescent="0.35">
      <c r="A304" s="5">
        <v>303</v>
      </c>
      <c r="B304" s="12" t="s">
        <v>330</v>
      </c>
      <c r="C304" s="6">
        <v>44499</v>
      </c>
      <c r="D304" s="6" t="str">
        <f t="shared" si="20"/>
        <v>30</v>
      </c>
      <c r="E304" s="6" t="str">
        <f t="shared" si="21"/>
        <v>Oct</v>
      </c>
      <c r="F304" s="7" t="s">
        <v>8</v>
      </c>
      <c r="G304" s="7" t="s">
        <v>22</v>
      </c>
      <c r="H304" s="7" t="s">
        <v>15</v>
      </c>
      <c r="I304" s="8">
        <v>5</v>
      </c>
      <c r="J304" s="8">
        <v>1200</v>
      </c>
      <c r="K304" s="8">
        <f t="shared" si="22"/>
        <v>6000</v>
      </c>
      <c r="L304" s="5" t="s">
        <v>25</v>
      </c>
      <c r="M304" s="7" t="b">
        <f t="shared" ca="1" si="23"/>
        <v>0</v>
      </c>
      <c r="N304" s="16" t="b">
        <f t="shared" ca="1" si="24"/>
        <v>0</v>
      </c>
    </row>
    <row r="305" spans="1:14" x14ac:dyDescent="0.35">
      <c r="A305" s="5">
        <v>304</v>
      </c>
      <c r="B305" s="12" t="s">
        <v>331</v>
      </c>
      <c r="C305" s="6">
        <v>44500</v>
      </c>
      <c r="D305" s="6" t="str">
        <f t="shared" si="20"/>
        <v>31</v>
      </c>
      <c r="E305" s="6" t="str">
        <f t="shared" si="21"/>
        <v>Oct</v>
      </c>
      <c r="F305" s="7" t="s">
        <v>8</v>
      </c>
      <c r="G305" s="7" t="s">
        <v>23</v>
      </c>
      <c r="H305" s="7" t="s">
        <v>17</v>
      </c>
      <c r="I305" s="8">
        <v>4</v>
      </c>
      <c r="J305" s="8">
        <v>1500</v>
      </c>
      <c r="K305" s="8">
        <f t="shared" si="22"/>
        <v>6000</v>
      </c>
      <c r="L305" s="5" t="s">
        <v>26</v>
      </c>
      <c r="M305" s="7" t="b">
        <f t="shared" ca="1" si="23"/>
        <v>0</v>
      </c>
      <c r="N305" s="16" t="b">
        <f t="shared" ca="1" si="24"/>
        <v>0</v>
      </c>
    </row>
    <row r="306" spans="1:14" x14ac:dyDescent="0.35">
      <c r="A306" s="5">
        <v>305</v>
      </c>
      <c r="B306" s="12" t="s">
        <v>332</v>
      </c>
      <c r="C306" s="6">
        <v>44501</v>
      </c>
      <c r="D306" s="6" t="str">
        <f t="shared" si="20"/>
        <v>01</v>
      </c>
      <c r="E306" s="6" t="str">
        <f t="shared" si="21"/>
        <v>Nov</v>
      </c>
      <c r="F306" s="7" t="s">
        <v>11</v>
      </c>
      <c r="G306" s="7" t="s">
        <v>12</v>
      </c>
      <c r="H306" s="7" t="s">
        <v>19</v>
      </c>
      <c r="I306" s="8">
        <v>3</v>
      </c>
      <c r="J306" s="8">
        <v>300</v>
      </c>
      <c r="K306" s="8">
        <f t="shared" si="22"/>
        <v>900</v>
      </c>
      <c r="L306" s="5" t="s">
        <v>25</v>
      </c>
      <c r="M306" s="7" t="b">
        <f t="shared" ca="1" si="23"/>
        <v>0</v>
      </c>
      <c r="N306" s="16" t="b">
        <f t="shared" ca="1" si="24"/>
        <v>0</v>
      </c>
    </row>
    <row r="307" spans="1:14" x14ac:dyDescent="0.35">
      <c r="A307" s="5">
        <v>306</v>
      </c>
      <c r="B307" s="12" t="s">
        <v>333</v>
      </c>
      <c r="C307" s="6">
        <v>44502</v>
      </c>
      <c r="D307" s="6" t="str">
        <f t="shared" si="20"/>
        <v>02</v>
      </c>
      <c r="E307" s="6" t="str">
        <f t="shared" si="21"/>
        <v>Nov</v>
      </c>
      <c r="F307" s="7" t="s">
        <v>11</v>
      </c>
      <c r="G307" s="7" t="s">
        <v>9</v>
      </c>
      <c r="H307" s="7" t="s">
        <v>21</v>
      </c>
      <c r="I307" s="8">
        <v>2</v>
      </c>
      <c r="J307" s="8">
        <v>190</v>
      </c>
      <c r="K307" s="8">
        <f t="shared" si="22"/>
        <v>380</v>
      </c>
      <c r="L307" s="5" t="s">
        <v>26</v>
      </c>
      <c r="M307" s="7" t="b">
        <f t="shared" ca="1" si="23"/>
        <v>0</v>
      </c>
      <c r="N307" s="16" t="b">
        <f t="shared" ca="1" si="24"/>
        <v>0</v>
      </c>
    </row>
    <row r="308" spans="1:14" x14ac:dyDescent="0.35">
      <c r="A308" s="5">
        <v>307</v>
      </c>
      <c r="B308" s="12" t="s">
        <v>334</v>
      </c>
      <c r="C308" s="6">
        <v>44503</v>
      </c>
      <c r="D308" s="6" t="str">
        <f t="shared" si="20"/>
        <v>03</v>
      </c>
      <c r="E308" s="6" t="str">
        <f t="shared" si="21"/>
        <v>Nov</v>
      </c>
      <c r="F308" s="7" t="s">
        <v>11</v>
      </c>
      <c r="G308" s="7" t="s">
        <v>22</v>
      </c>
      <c r="H308" s="7" t="s">
        <v>21</v>
      </c>
      <c r="I308" s="8">
        <v>2</v>
      </c>
      <c r="J308" s="8">
        <v>190</v>
      </c>
      <c r="K308" s="8">
        <f t="shared" si="22"/>
        <v>380</v>
      </c>
      <c r="L308" s="5" t="s">
        <v>25</v>
      </c>
      <c r="M308" s="7" t="b">
        <f t="shared" ca="1" si="23"/>
        <v>0</v>
      </c>
      <c r="N308" s="16" t="b">
        <f t="shared" ca="1" si="24"/>
        <v>0</v>
      </c>
    </row>
    <row r="309" spans="1:14" x14ac:dyDescent="0.35">
      <c r="A309" s="5">
        <v>308</v>
      </c>
      <c r="B309" s="12" t="s">
        <v>335</v>
      </c>
      <c r="C309" s="6">
        <v>44504</v>
      </c>
      <c r="D309" s="6" t="str">
        <f t="shared" si="20"/>
        <v>04</v>
      </c>
      <c r="E309" s="6" t="str">
        <f t="shared" si="21"/>
        <v>Nov</v>
      </c>
      <c r="F309" s="7" t="s">
        <v>11</v>
      </c>
      <c r="G309" s="7" t="s">
        <v>23</v>
      </c>
      <c r="H309" s="7" t="s">
        <v>21</v>
      </c>
      <c r="I309" s="8">
        <v>2</v>
      </c>
      <c r="J309" s="8">
        <v>190</v>
      </c>
      <c r="K309" s="8">
        <f t="shared" si="22"/>
        <v>380</v>
      </c>
      <c r="L309" s="5" t="s">
        <v>26</v>
      </c>
      <c r="M309" s="7" t="b">
        <f t="shared" ca="1" si="23"/>
        <v>0</v>
      </c>
      <c r="N309" s="16" t="b">
        <f t="shared" ca="1" si="24"/>
        <v>0</v>
      </c>
    </row>
    <row r="310" spans="1:14" x14ac:dyDescent="0.35">
      <c r="A310" s="5">
        <v>309</v>
      </c>
      <c r="B310" s="12" t="s">
        <v>336</v>
      </c>
      <c r="C310" s="6">
        <v>44505</v>
      </c>
      <c r="D310" s="6" t="str">
        <f t="shared" si="20"/>
        <v>05</v>
      </c>
      <c r="E310" s="6" t="str">
        <f t="shared" si="21"/>
        <v>Nov</v>
      </c>
      <c r="F310" s="7" t="s">
        <v>11</v>
      </c>
      <c r="G310" s="7" t="s">
        <v>12</v>
      </c>
      <c r="H310" s="7" t="s">
        <v>21</v>
      </c>
      <c r="I310" s="8">
        <v>2</v>
      </c>
      <c r="J310" s="8">
        <v>190</v>
      </c>
      <c r="K310" s="8">
        <f t="shared" si="22"/>
        <v>380</v>
      </c>
      <c r="L310" s="5" t="s">
        <v>25</v>
      </c>
      <c r="M310" s="7" t="b">
        <f t="shared" ca="1" si="23"/>
        <v>0</v>
      </c>
      <c r="N310" s="16" t="b">
        <f t="shared" ca="1" si="24"/>
        <v>0</v>
      </c>
    </row>
    <row r="311" spans="1:14" x14ac:dyDescent="0.35">
      <c r="A311" s="5">
        <v>310</v>
      </c>
      <c r="B311" s="12" t="s">
        <v>337</v>
      </c>
      <c r="C311" s="6">
        <v>44506</v>
      </c>
      <c r="D311" s="6" t="str">
        <f t="shared" si="20"/>
        <v>06</v>
      </c>
      <c r="E311" s="6" t="str">
        <f t="shared" si="21"/>
        <v>Nov</v>
      </c>
      <c r="F311" s="7" t="s">
        <v>11</v>
      </c>
      <c r="G311" s="7" t="s">
        <v>9</v>
      </c>
      <c r="H311" s="7" t="s">
        <v>21</v>
      </c>
      <c r="I311" s="8">
        <v>2</v>
      </c>
      <c r="J311" s="8">
        <v>190</v>
      </c>
      <c r="K311" s="8">
        <f t="shared" si="22"/>
        <v>380</v>
      </c>
      <c r="L311" s="5" t="s">
        <v>26</v>
      </c>
      <c r="M311" s="7" t="b">
        <f t="shared" ca="1" si="23"/>
        <v>0</v>
      </c>
      <c r="N311" s="16" t="b">
        <f t="shared" ca="1" si="24"/>
        <v>0</v>
      </c>
    </row>
    <row r="312" spans="1:14" x14ac:dyDescent="0.35">
      <c r="A312" s="5">
        <v>311</v>
      </c>
      <c r="B312" s="12" t="s">
        <v>338</v>
      </c>
      <c r="C312" s="6">
        <v>44507</v>
      </c>
      <c r="D312" s="6" t="str">
        <f t="shared" si="20"/>
        <v>07</v>
      </c>
      <c r="E312" s="6" t="str">
        <f t="shared" si="21"/>
        <v>Nov</v>
      </c>
      <c r="F312" s="7" t="s">
        <v>11</v>
      </c>
      <c r="G312" s="7" t="s">
        <v>22</v>
      </c>
      <c r="H312" s="7" t="s">
        <v>21</v>
      </c>
      <c r="I312" s="8">
        <v>2</v>
      </c>
      <c r="J312" s="8">
        <v>190</v>
      </c>
      <c r="K312" s="8">
        <f t="shared" si="22"/>
        <v>380</v>
      </c>
      <c r="L312" s="5" t="s">
        <v>25</v>
      </c>
      <c r="M312" s="7" t="b">
        <f t="shared" ca="1" si="23"/>
        <v>0</v>
      </c>
      <c r="N312" s="16" t="b">
        <f t="shared" ca="1" si="24"/>
        <v>0</v>
      </c>
    </row>
    <row r="313" spans="1:14" x14ac:dyDescent="0.35">
      <c r="A313" s="5">
        <v>312</v>
      </c>
      <c r="B313" s="12" t="s">
        <v>339</v>
      </c>
      <c r="C313" s="6">
        <v>44508</v>
      </c>
      <c r="D313" s="6" t="str">
        <f t="shared" si="20"/>
        <v>08</v>
      </c>
      <c r="E313" s="6" t="str">
        <f t="shared" si="21"/>
        <v>Nov</v>
      </c>
      <c r="F313" s="7" t="s">
        <v>11</v>
      </c>
      <c r="G313" s="7" t="s">
        <v>23</v>
      </c>
      <c r="H313" s="7" t="s">
        <v>21</v>
      </c>
      <c r="I313" s="8">
        <v>2</v>
      </c>
      <c r="J313" s="8">
        <v>190</v>
      </c>
      <c r="K313" s="8">
        <f t="shared" si="22"/>
        <v>380</v>
      </c>
      <c r="L313" s="5" t="s">
        <v>26</v>
      </c>
      <c r="M313" s="7" t="b">
        <f t="shared" ca="1" si="23"/>
        <v>0</v>
      </c>
      <c r="N313" s="16" t="b">
        <f t="shared" ca="1" si="24"/>
        <v>0</v>
      </c>
    </row>
    <row r="314" spans="1:14" x14ac:dyDescent="0.35">
      <c r="A314" s="5">
        <v>313</v>
      </c>
      <c r="B314" s="12" t="s">
        <v>340</v>
      </c>
      <c r="C314" s="6">
        <v>44509</v>
      </c>
      <c r="D314" s="6" t="str">
        <f t="shared" si="20"/>
        <v>09</v>
      </c>
      <c r="E314" s="6" t="str">
        <f t="shared" si="21"/>
        <v>Nov</v>
      </c>
      <c r="F314" s="7" t="s">
        <v>14</v>
      </c>
      <c r="G314" s="7" t="s">
        <v>23</v>
      </c>
      <c r="H314" s="7" t="s">
        <v>21</v>
      </c>
      <c r="I314" s="8">
        <v>2</v>
      </c>
      <c r="J314" s="8">
        <v>190</v>
      </c>
      <c r="K314" s="8">
        <f t="shared" si="22"/>
        <v>380</v>
      </c>
      <c r="L314" s="5" t="s">
        <v>25</v>
      </c>
      <c r="M314" s="7" t="b">
        <f t="shared" ca="1" si="23"/>
        <v>0</v>
      </c>
      <c r="N314" s="16" t="b">
        <f t="shared" ca="1" si="24"/>
        <v>0</v>
      </c>
    </row>
    <row r="315" spans="1:14" x14ac:dyDescent="0.35">
      <c r="A315" s="5">
        <v>314</v>
      </c>
      <c r="B315" s="12" t="s">
        <v>341</v>
      </c>
      <c r="C315" s="6">
        <v>44510</v>
      </c>
      <c r="D315" s="6" t="str">
        <f t="shared" si="20"/>
        <v>10</v>
      </c>
      <c r="E315" s="6" t="str">
        <f t="shared" si="21"/>
        <v>Nov</v>
      </c>
      <c r="F315" s="7" t="s">
        <v>16</v>
      </c>
      <c r="G315" s="7" t="s">
        <v>23</v>
      </c>
      <c r="H315" s="7" t="s">
        <v>21</v>
      </c>
      <c r="I315" s="8">
        <v>2</v>
      </c>
      <c r="J315" s="8">
        <v>190</v>
      </c>
      <c r="K315" s="8">
        <f t="shared" si="22"/>
        <v>380</v>
      </c>
      <c r="L315" s="5" t="s">
        <v>26</v>
      </c>
      <c r="M315" s="7" t="b">
        <f t="shared" ca="1" si="23"/>
        <v>0</v>
      </c>
      <c r="N315" s="16" t="b">
        <f t="shared" ca="1" si="24"/>
        <v>0</v>
      </c>
    </row>
    <row r="316" spans="1:14" x14ac:dyDescent="0.35">
      <c r="A316" s="5">
        <v>315</v>
      </c>
      <c r="B316" s="12" t="s">
        <v>342</v>
      </c>
      <c r="C316" s="6">
        <v>44511</v>
      </c>
      <c r="D316" s="6" t="str">
        <f t="shared" si="20"/>
        <v>11</v>
      </c>
      <c r="E316" s="6" t="str">
        <f t="shared" si="21"/>
        <v>Nov</v>
      </c>
      <c r="F316" s="7" t="s">
        <v>18</v>
      </c>
      <c r="G316" s="7" t="s">
        <v>23</v>
      </c>
      <c r="H316" s="7" t="s">
        <v>21</v>
      </c>
      <c r="I316" s="8">
        <v>2</v>
      </c>
      <c r="J316" s="8">
        <v>190</v>
      </c>
      <c r="K316" s="8">
        <f t="shared" si="22"/>
        <v>380</v>
      </c>
      <c r="L316" s="5" t="s">
        <v>25</v>
      </c>
      <c r="M316" s="7" t="b">
        <f t="shared" ca="1" si="23"/>
        <v>0</v>
      </c>
      <c r="N316" s="16" t="b">
        <f t="shared" ca="1" si="24"/>
        <v>0</v>
      </c>
    </row>
    <row r="317" spans="1:14" x14ac:dyDescent="0.35">
      <c r="A317" s="5">
        <v>316</v>
      </c>
      <c r="B317" s="12" t="s">
        <v>343</v>
      </c>
      <c r="C317" s="6">
        <v>44512</v>
      </c>
      <c r="D317" s="6" t="str">
        <f t="shared" si="20"/>
        <v>12</v>
      </c>
      <c r="E317" s="6" t="str">
        <f t="shared" si="21"/>
        <v>Nov</v>
      </c>
      <c r="F317" s="7" t="s">
        <v>20</v>
      </c>
      <c r="G317" s="7" t="s">
        <v>23</v>
      </c>
      <c r="H317" s="7" t="s">
        <v>21</v>
      </c>
      <c r="I317" s="8">
        <v>2</v>
      </c>
      <c r="J317" s="8">
        <v>190</v>
      </c>
      <c r="K317" s="8">
        <f t="shared" si="22"/>
        <v>380</v>
      </c>
      <c r="L317" s="5" t="s">
        <v>26</v>
      </c>
      <c r="M317" s="7" t="b">
        <f t="shared" ca="1" si="23"/>
        <v>0</v>
      </c>
      <c r="N317" s="16" t="b">
        <f t="shared" ca="1" si="24"/>
        <v>0</v>
      </c>
    </row>
    <row r="318" spans="1:14" x14ac:dyDescent="0.35">
      <c r="A318" s="5">
        <v>317</v>
      </c>
      <c r="B318" s="12" t="s">
        <v>344</v>
      </c>
      <c r="C318" s="6">
        <v>44513</v>
      </c>
      <c r="D318" s="6" t="str">
        <f t="shared" si="20"/>
        <v>13</v>
      </c>
      <c r="E318" s="6" t="str">
        <f t="shared" si="21"/>
        <v>Nov</v>
      </c>
      <c r="F318" s="7" t="s">
        <v>20</v>
      </c>
      <c r="G318" s="7" t="s">
        <v>9</v>
      </c>
      <c r="H318" s="7" t="s">
        <v>21</v>
      </c>
      <c r="I318" s="8">
        <v>2</v>
      </c>
      <c r="J318" s="8">
        <v>190</v>
      </c>
      <c r="K318" s="8">
        <f t="shared" si="22"/>
        <v>380</v>
      </c>
      <c r="L318" s="5" t="s">
        <v>25</v>
      </c>
      <c r="M318" s="7" t="b">
        <f t="shared" ca="1" si="23"/>
        <v>0</v>
      </c>
      <c r="N318" s="16" t="b">
        <f t="shared" ca="1" si="24"/>
        <v>0</v>
      </c>
    </row>
    <row r="319" spans="1:14" x14ac:dyDescent="0.35">
      <c r="A319" s="5">
        <v>318</v>
      </c>
      <c r="B319" s="12" t="s">
        <v>345</v>
      </c>
      <c r="C319" s="6">
        <v>44514</v>
      </c>
      <c r="D319" s="6" t="str">
        <f t="shared" si="20"/>
        <v>14</v>
      </c>
      <c r="E319" s="6" t="str">
        <f t="shared" si="21"/>
        <v>Nov</v>
      </c>
      <c r="F319" s="7" t="s">
        <v>20</v>
      </c>
      <c r="G319" s="7" t="s">
        <v>12</v>
      </c>
      <c r="H319" s="7" t="s">
        <v>21</v>
      </c>
      <c r="I319" s="8">
        <v>3</v>
      </c>
      <c r="J319" s="8">
        <v>190</v>
      </c>
      <c r="K319" s="8">
        <f t="shared" si="22"/>
        <v>570</v>
      </c>
      <c r="L319" s="5" t="s">
        <v>26</v>
      </c>
      <c r="M319" s="7" t="b">
        <f t="shared" ca="1" si="23"/>
        <v>0</v>
      </c>
      <c r="N319" s="16" t="b">
        <f t="shared" ca="1" si="24"/>
        <v>0</v>
      </c>
    </row>
    <row r="320" spans="1:14" x14ac:dyDescent="0.35">
      <c r="A320" s="5">
        <v>319</v>
      </c>
      <c r="B320" s="12" t="s">
        <v>346</v>
      </c>
      <c r="C320" s="6">
        <v>44515</v>
      </c>
      <c r="D320" s="6" t="str">
        <f t="shared" si="20"/>
        <v>15</v>
      </c>
      <c r="E320" s="6" t="str">
        <f t="shared" si="21"/>
        <v>Nov</v>
      </c>
      <c r="F320" s="7" t="s">
        <v>20</v>
      </c>
      <c r="G320" s="7" t="s">
        <v>22</v>
      </c>
      <c r="H320" s="7" t="s">
        <v>10</v>
      </c>
      <c r="I320" s="8">
        <v>2</v>
      </c>
      <c r="J320" s="8">
        <v>210</v>
      </c>
      <c r="K320" s="8">
        <f t="shared" si="22"/>
        <v>420</v>
      </c>
      <c r="L320" s="5" t="s">
        <v>25</v>
      </c>
      <c r="M320" s="7" t="b">
        <f t="shared" ca="1" si="23"/>
        <v>0</v>
      </c>
      <c r="N320" s="16" t="b">
        <f t="shared" ca="1" si="24"/>
        <v>0</v>
      </c>
    </row>
    <row r="321" spans="1:14" x14ac:dyDescent="0.35">
      <c r="A321" s="5">
        <v>320</v>
      </c>
      <c r="B321" s="12" t="s">
        <v>347</v>
      </c>
      <c r="C321" s="6">
        <v>44516</v>
      </c>
      <c r="D321" s="6" t="str">
        <f t="shared" si="20"/>
        <v>16</v>
      </c>
      <c r="E321" s="6" t="str">
        <f t="shared" si="21"/>
        <v>Nov</v>
      </c>
      <c r="F321" s="7" t="s">
        <v>20</v>
      </c>
      <c r="G321" s="7" t="s">
        <v>23</v>
      </c>
      <c r="H321" s="7" t="s">
        <v>10</v>
      </c>
      <c r="I321" s="8">
        <v>2</v>
      </c>
      <c r="J321" s="8">
        <v>210</v>
      </c>
      <c r="K321" s="8">
        <f t="shared" si="22"/>
        <v>420</v>
      </c>
      <c r="L321" s="5" t="s">
        <v>26</v>
      </c>
      <c r="M321" s="7" t="b">
        <f t="shared" ca="1" si="23"/>
        <v>0</v>
      </c>
      <c r="N321" s="16" t="b">
        <f t="shared" ca="1" si="24"/>
        <v>0</v>
      </c>
    </row>
    <row r="322" spans="1:14" x14ac:dyDescent="0.35">
      <c r="A322" s="5">
        <v>321</v>
      </c>
      <c r="B322" s="12" t="s">
        <v>348</v>
      </c>
      <c r="C322" s="6">
        <v>44517</v>
      </c>
      <c r="D322" s="6" t="str">
        <f t="shared" si="20"/>
        <v>17</v>
      </c>
      <c r="E322" s="6" t="str">
        <f t="shared" si="21"/>
        <v>Nov</v>
      </c>
      <c r="F322" s="7" t="s">
        <v>20</v>
      </c>
      <c r="G322" s="7" t="s">
        <v>9</v>
      </c>
      <c r="H322" s="7" t="s">
        <v>10</v>
      </c>
      <c r="I322" s="8">
        <v>2</v>
      </c>
      <c r="J322" s="8">
        <v>210</v>
      </c>
      <c r="K322" s="8">
        <f t="shared" si="22"/>
        <v>420</v>
      </c>
      <c r="L322" s="5" t="s">
        <v>25</v>
      </c>
      <c r="M322" s="7" t="b">
        <f t="shared" ca="1" si="23"/>
        <v>0</v>
      </c>
      <c r="N322" s="16" t="b">
        <f t="shared" ca="1" si="24"/>
        <v>0</v>
      </c>
    </row>
    <row r="323" spans="1:14" x14ac:dyDescent="0.35">
      <c r="A323" s="5">
        <v>322</v>
      </c>
      <c r="B323" s="12" t="s">
        <v>349</v>
      </c>
      <c r="C323" s="6">
        <v>44518</v>
      </c>
      <c r="D323" s="6" t="str">
        <f t="shared" ref="D323:D367" si="25">TEXT(C323,"dd")</f>
        <v>18</v>
      </c>
      <c r="E323" s="6" t="str">
        <f t="shared" ref="E323:E367" si="26">TEXT(C323,"mmm")</f>
        <v>Nov</v>
      </c>
      <c r="F323" s="7" t="s">
        <v>20</v>
      </c>
      <c r="G323" s="7" t="s">
        <v>12</v>
      </c>
      <c r="H323" s="7" t="s">
        <v>10</v>
      </c>
      <c r="I323" s="8">
        <v>2</v>
      </c>
      <c r="J323" s="8">
        <v>210</v>
      </c>
      <c r="K323" s="8">
        <f t="shared" ref="K323:K367" si="27">I323*J323</f>
        <v>420</v>
      </c>
      <c r="L323" s="5" t="s">
        <v>26</v>
      </c>
      <c r="M323" s="7" t="b">
        <f t="shared" ref="M323:M386" ca="1" si="28">AND(A323&gt;=(TODAY()-28),A323&lt;TODAY())</f>
        <v>0</v>
      </c>
      <c r="N323" s="16" t="b">
        <f t="shared" ref="N323:N386" ca="1" si="29">AND(A323&gt;=(TODAY()-56),A323&lt;(TODAY()-28))</f>
        <v>0</v>
      </c>
    </row>
    <row r="324" spans="1:14" x14ac:dyDescent="0.35">
      <c r="A324" s="5">
        <v>323</v>
      </c>
      <c r="B324" s="12" t="s">
        <v>350</v>
      </c>
      <c r="C324" s="6">
        <v>44519</v>
      </c>
      <c r="D324" s="6" t="str">
        <f t="shared" si="25"/>
        <v>19</v>
      </c>
      <c r="E324" s="6" t="str">
        <f t="shared" si="26"/>
        <v>Nov</v>
      </c>
      <c r="F324" s="7" t="s">
        <v>20</v>
      </c>
      <c r="G324" s="7" t="s">
        <v>22</v>
      </c>
      <c r="H324" s="7" t="s">
        <v>10</v>
      </c>
      <c r="I324" s="8">
        <v>2</v>
      </c>
      <c r="J324" s="8">
        <v>210</v>
      </c>
      <c r="K324" s="8">
        <f t="shared" si="27"/>
        <v>420</v>
      </c>
      <c r="L324" s="5" t="s">
        <v>25</v>
      </c>
      <c r="M324" s="7" t="b">
        <f t="shared" ca="1" si="28"/>
        <v>0</v>
      </c>
      <c r="N324" s="16" t="b">
        <f t="shared" ca="1" si="29"/>
        <v>0</v>
      </c>
    </row>
    <row r="325" spans="1:14" x14ac:dyDescent="0.35">
      <c r="A325" s="5">
        <v>324</v>
      </c>
      <c r="B325" s="12" t="s">
        <v>351</v>
      </c>
      <c r="C325" s="6">
        <v>44520</v>
      </c>
      <c r="D325" s="6" t="str">
        <f t="shared" si="25"/>
        <v>20</v>
      </c>
      <c r="E325" s="6" t="str">
        <f t="shared" si="26"/>
        <v>Nov</v>
      </c>
      <c r="F325" s="7" t="s">
        <v>20</v>
      </c>
      <c r="G325" s="7" t="s">
        <v>23</v>
      </c>
      <c r="H325" s="7" t="s">
        <v>10</v>
      </c>
      <c r="I325" s="8">
        <v>2</v>
      </c>
      <c r="J325" s="8">
        <v>210</v>
      </c>
      <c r="K325" s="8">
        <f t="shared" si="27"/>
        <v>420</v>
      </c>
      <c r="L325" s="5" t="s">
        <v>26</v>
      </c>
      <c r="M325" s="7" t="b">
        <f t="shared" ca="1" si="28"/>
        <v>0</v>
      </c>
      <c r="N325" s="16" t="b">
        <f t="shared" ca="1" si="29"/>
        <v>0</v>
      </c>
    </row>
    <row r="326" spans="1:14" x14ac:dyDescent="0.35">
      <c r="A326" s="5">
        <v>325</v>
      </c>
      <c r="B326" s="12" t="s">
        <v>352</v>
      </c>
      <c r="C326" s="6">
        <v>44521</v>
      </c>
      <c r="D326" s="6" t="str">
        <f t="shared" si="25"/>
        <v>21</v>
      </c>
      <c r="E326" s="6" t="str">
        <f t="shared" si="26"/>
        <v>Nov</v>
      </c>
      <c r="F326" s="7" t="s">
        <v>8</v>
      </c>
      <c r="G326" s="7" t="s">
        <v>9</v>
      </c>
      <c r="H326" s="7" t="s">
        <v>10</v>
      </c>
      <c r="I326" s="8">
        <v>2</v>
      </c>
      <c r="J326" s="8">
        <v>210</v>
      </c>
      <c r="K326" s="8">
        <f t="shared" si="27"/>
        <v>420</v>
      </c>
      <c r="L326" s="5" t="s">
        <v>25</v>
      </c>
      <c r="M326" s="7" t="b">
        <f t="shared" ca="1" si="28"/>
        <v>0</v>
      </c>
      <c r="N326" s="16" t="b">
        <f t="shared" ca="1" si="29"/>
        <v>0</v>
      </c>
    </row>
    <row r="327" spans="1:14" x14ac:dyDescent="0.35">
      <c r="A327" s="5">
        <v>326</v>
      </c>
      <c r="B327" s="12" t="s">
        <v>353</v>
      </c>
      <c r="C327" s="6">
        <v>44522</v>
      </c>
      <c r="D327" s="6" t="str">
        <f t="shared" si="25"/>
        <v>22</v>
      </c>
      <c r="E327" s="6" t="str">
        <f t="shared" si="26"/>
        <v>Nov</v>
      </c>
      <c r="F327" s="7" t="s">
        <v>11</v>
      </c>
      <c r="G327" s="7" t="s">
        <v>12</v>
      </c>
      <c r="H327" s="7" t="s">
        <v>10</v>
      </c>
      <c r="I327" s="8">
        <v>2</v>
      </c>
      <c r="J327" s="8">
        <v>210</v>
      </c>
      <c r="K327" s="8">
        <f t="shared" si="27"/>
        <v>420</v>
      </c>
      <c r="L327" s="5" t="s">
        <v>26</v>
      </c>
      <c r="M327" s="7" t="b">
        <f t="shared" ca="1" si="28"/>
        <v>0</v>
      </c>
      <c r="N327" s="16" t="b">
        <f t="shared" ca="1" si="29"/>
        <v>0</v>
      </c>
    </row>
    <row r="328" spans="1:14" x14ac:dyDescent="0.35">
      <c r="A328" s="5">
        <v>327</v>
      </c>
      <c r="B328" s="12" t="s">
        <v>354</v>
      </c>
      <c r="C328" s="6">
        <v>44523</v>
      </c>
      <c r="D328" s="6" t="str">
        <f t="shared" si="25"/>
        <v>23</v>
      </c>
      <c r="E328" s="6" t="str">
        <f t="shared" si="26"/>
        <v>Nov</v>
      </c>
      <c r="F328" s="7" t="s">
        <v>14</v>
      </c>
      <c r="G328" s="7" t="s">
        <v>9</v>
      </c>
      <c r="H328" s="7" t="s">
        <v>10</v>
      </c>
      <c r="I328" s="8">
        <v>2</v>
      </c>
      <c r="J328" s="8">
        <v>210</v>
      </c>
      <c r="K328" s="8">
        <f t="shared" si="27"/>
        <v>420</v>
      </c>
      <c r="L328" s="5" t="s">
        <v>25</v>
      </c>
      <c r="M328" s="7" t="b">
        <f t="shared" ca="1" si="28"/>
        <v>0</v>
      </c>
      <c r="N328" s="16" t="b">
        <f t="shared" ca="1" si="29"/>
        <v>0</v>
      </c>
    </row>
    <row r="329" spans="1:14" x14ac:dyDescent="0.35">
      <c r="A329" s="5">
        <v>328</v>
      </c>
      <c r="B329" s="12" t="s">
        <v>355</v>
      </c>
      <c r="C329" s="6">
        <v>44524</v>
      </c>
      <c r="D329" s="6" t="str">
        <f t="shared" si="25"/>
        <v>24</v>
      </c>
      <c r="E329" s="6" t="str">
        <f t="shared" si="26"/>
        <v>Nov</v>
      </c>
      <c r="F329" s="7" t="s">
        <v>16</v>
      </c>
      <c r="G329" s="7" t="s">
        <v>12</v>
      </c>
      <c r="H329" s="7" t="s">
        <v>10</v>
      </c>
      <c r="I329" s="8">
        <v>2</v>
      </c>
      <c r="J329" s="8">
        <v>210</v>
      </c>
      <c r="K329" s="8">
        <f t="shared" si="27"/>
        <v>420</v>
      </c>
      <c r="L329" s="5" t="s">
        <v>26</v>
      </c>
      <c r="M329" s="7" t="b">
        <f t="shared" ca="1" si="28"/>
        <v>0</v>
      </c>
      <c r="N329" s="16" t="b">
        <f t="shared" ca="1" si="29"/>
        <v>0</v>
      </c>
    </row>
    <row r="330" spans="1:14" x14ac:dyDescent="0.35">
      <c r="A330" s="5">
        <v>329</v>
      </c>
      <c r="B330" s="12" t="s">
        <v>356</v>
      </c>
      <c r="C330" s="6">
        <v>44525</v>
      </c>
      <c r="D330" s="6" t="str">
        <f t="shared" si="25"/>
        <v>25</v>
      </c>
      <c r="E330" s="6" t="str">
        <f t="shared" si="26"/>
        <v>Nov</v>
      </c>
      <c r="F330" s="7" t="s">
        <v>18</v>
      </c>
      <c r="G330" s="7" t="s">
        <v>9</v>
      </c>
      <c r="H330" s="7" t="s">
        <v>10</v>
      </c>
      <c r="I330" s="8">
        <v>2</v>
      </c>
      <c r="J330" s="8">
        <v>210</v>
      </c>
      <c r="K330" s="8">
        <f t="shared" si="27"/>
        <v>420</v>
      </c>
      <c r="L330" s="5" t="s">
        <v>25</v>
      </c>
      <c r="M330" s="7" t="b">
        <f t="shared" ca="1" si="28"/>
        <v>0</v>
      </c>
      <c r="N330" s="16" t="b">
        <f t="shared" ca="1" si="29"/>
        <v>0</v>
      </c>
    </row>
    <row r="331" spans="1:14" x14ac:dyDescent="0.35">
      <c r="A331" s="5">
        <v>330</v>
      </c>
      <c r="B331" s="12" t="s">
        <v>357</v>
      </c>
      <c r="C331" s="6">
        <v>44526</v>
      </c>
      <c r="D331" s="6" t="str">
        <f t="shared" si="25"/>
        <v>26</v>
      </c>
      <c r="E331" s="6" t="str">
        <f t="shared" si="26"/>
        <v>Nov</v>
      </c>
      <c r="F331" s="7" t="s">
        <v>20</v>
      </c>
      <c r="G331" s="7" t="s">
        <v>9</v>
      </c>
      <c r="H331" s="7" t="s">
        <v>10</v>
      </c>
      <c r="I331" s="8">
        <v>2</v>
      </c>
      <c r="J331" s="8">
        <v>210</v>
      </c>
      <c r="K331" s="8">
        <f t="shared" si="27"/>
        <v>420</v>
      </c>
      <c r="L331" s="5" t="s">
        <v>26</v>
      </c>
      <c r="M331" s="7" t="b">
        <f t="shared" ca="1" si="28"/>
        <v>0</v>
      </c>
      <c r="N331" s="16" t="b">
        <f t="shared" ca="1" si="29"/>
        <v>0</v>
      </c>
    </row>
    <row r="332" spans="1:14" x14ac:dyDescent="0.35">
      <c r="A332" s="5">
        <v>331</v>
      </c>
      <c r="B332" s="12" t="s">
        <v>358</v>
      </c>
      <c r="C332" s="6">
        <v>44527</v>
      </c>
      <c r="D332" s="6" t="str">
        <f t="shared" si="25"/>
        <v>27</v>
      </c>
      <c r="E332" s="6" t="str">
        <f t="shared" si="26"/>
        <v>Nov</v>
      </c>
      <c r="F332" s="7" t="s">
        <v>8</v>
      </c>
      <c r="G332" s="7" t="s">
        <v>9</v>
      </c>
      <c r="H332" s="7" t="s">
        <v>21</v>
      </c>
      <c r="I332" s="8">
        <v>2</v>
      </c>
      <c r="J332" s="8">
        <v>190</v>
      </c>
      <c r="K332" s="8">
        <f t="shared" si="27"/>
        <v>380</v>
      </c>
      <c r="L332" s="5" t="s">
        <v>25</v>
      </c>
      <c r="M332" s="7" t="b">
        <f t="shared" ca="1" si="28"/>
        <v>0</v>
      </c>
      <c r="N332" s="16" t="b">
        <f t="shared" ca="1" si="29"/>
        <v>0</v>
      </c>
    </row>
    <row r="333" spans="1:14" x14ac:dyDescent="0.35">
      <c r="A333" s="5">
        <v>332</v>
      </c>
      <c r="B333" s="12" t="s">
        <v>359</v>
      </c>
      <c r="C333" s="6">
        <v>44528</v>
      </c>
      <c r="D333" s="6" t="str">
        <f t="shared" si="25"/>
        <v>28</v>
      </c>
      <c r="E333" s="6" t="str">
        <f t="shared" si="26"/>
        <v>Nov</v>
      </c>
      <c r="F333" s="7" t="s">
        <v>11</v>
      </c>
      <c r="G333" s="7" t="s">
        <v>12</v>
      </c>
      <c r="H333" s="7" t="s">
        <v>10</v>
      </c>
      <c r="I333" s="8">
        <v>7</v>
      </c>
      <c r="J333" s="8">
        <v>210</v>
      </c>
      <c r="K333" s="8">
        <f t="shared" si="27"/>
        <v>1470</v>
      </c>
      <c r="L333" s="5" t="s">
        <v>26</v>
      </c>
      <c r="M333" s="7" t="b">
        <f t="shared" ca="1" si="28"/>
        <v>0</v>
      </c>
      <c r="N333" s="16" t="b">
        <f t="shared" ca="1" si="29"/>
        <v>0</v>
      </c>
    </row>
    <row r="334" spans="1:14" x14ac:dyDescent="0.35">
      <c r="A334" s="5">
        <v>333</v>
      </c>
      <c r="B334" s="12" t="s">
        <v>360</v>
      </c>
      <c r="C334" s="6">
        <v>44529</v>
      </c>
      <c r="D334" s="6" t="str">
        <f t="shared" si="25"/>
        <v>29</v>
      </c>
      <c r="E334" s="6" t="str">
        <f t="shared" si="26"/>
        <v>Nov</v>
      </c>
      <c r="F334" s="7" t="s">
        <v>14</v>
      </c>
      <c r="G334" s="7" t="s">
        <v>12</v>
      </c>
      <c r="H334" s="7" t="s">
        <v>13</v>
      </c>
      <c r="I334" s="8">
        <v>6</v>
      </c>
      <c r="J334" s="8">
        <v>2100</v>
      </c>
      <c r="K334" s="8">
        <f t="shared" si="27"/>
        <v>12600</v>
      </c>
      <c r="L334" s="5" t="s">
        <v>25</v>
      </c>
      <c r="M334" s="7" t="b">
        <f t="shared" ca="1" si="28"/>
        <v>0</v>
      </c>
      <c r="N334" s="16" t="b">
        <f t="shared" ca="1" si="29"/>
        <v>0</v>
      </c>
    </row>
    <row r="335" spans="1:14" x14ac:dyDescent="0.35">
      <c r="A335" s="5">
        <v>334</v>
      </c>
      <c r="B335" s="12" t="s">
        <v>361</v>
      </c>
      <c r="C335" s="6">
        <v>44530</v>
      </c>
      <c r="D335" s="6" t="str">
        <f t="shared" si="25"/>
        <v>30</v>
      </c>
      <c r="E335" s="6" t="str">
        <f t="shared" si="26"/>
        <v>Nov</v>
      </c>
      <c r="F335" s="7" t="s">
        <v>16</v>
      </c>
      <c r="G335" s="7" t="s">
        <v>9</v>
      </c>
      <c r="H335" s="7" t="s">
        <v>15</v>
      </c>
      <c r="I335" s="8">
        <v>5</v>
      </c>
      <c r="J335" s="8">
        <v>1200</v>
      </c>
      <c r="K335" s="8">
        <f t="shared" si="27"/>
        <v>6000</v>
      </c>
      <c r="L335" s="5" t="s">
        <v>26</v>
      </c>
      <c r="M335" s="7" t="b">
        <f t="shared" ca="1" si="28"/>
        <v>0</v>
      </c>
      <c r="N335" s="16" t="b">
        <f t="shared" ca="1" si="29"/>
        <v>0</v>
      </c>
    </row>
    <row r="336" spans="1:14" x14ac:dyDescent="0.35">
      <c r="A336" s="5">
        <v>335</v>
      </c>
      <c r="B336" s="12" t="s">
        <v>362</v>
      </c>
      <c r="C336" s="6">
        <v>44531</v>
      </c>
      <c r="D336" s="6" t="str">
        <f t="shared" si="25"/>
        <v>01</v>
      </c>
      <c r="E336" s="6" t="str">
        <f t="shared" si="26"/>
        <v>Dec</v>
      </c>
      <c r="F336" s="7" t="s">
        <v>18</v>
      </c>
      <c r="G336" s="7" t="s">
        <v>9</v>
      </c>
      <c r="H336" s="7" t="s">
        <v>17</v>
      </c>
      <c r="I336" s="8">
        <v>4</v>
      </c>
      <c r="J336" s="8">
        <v>1500</v>
      </c>
      <c r="K336" s="8">
        <f t="shared" si="27"/>
        <v>6000</v>
      </c>
      <c r="L336" s="5" t="s">
        <v>25</v>
      </c>
      <c r="M336" s="7" t="b">
        <f t="shared" ca="1" si="28"/>
        <v>0</v>
      </c>
      <c r="N336" s="16" t="b">
        <f t="shared" ca="1" si="29"/>
        <v>0</v>
      </c>
    </row>
    <row r="337" spans="1:14" x14ac:dyDescent="0.35">
      <c r="A337" s="5">
        <v>336</v>
      </c>
      <c r="B337" s="12" t="s">
        <v>363</v>
      </c>
      <c r="C337" s="6">
        <v>44532</v>
      </c>
      <c r="D337" s="6" t="str">
        <f t="shared" si="25"/>
        <v>02</v>
      </c>
      <c r="E337" s="6" t="str">
        <f t="shared" si="26"/>
        <v>Dec</v>
      </c>
      <c r="F337" s="7" t="s">
        <v>20</v>
      </c>
      <c r="G337" s="7" t="s">
        <v>12</v>
      </c>
      <c r="H337" s="7" t="s">
        <v>17</v>
      </c>
      <c r="I337" s="8">
        <v>4</v>
      </c>
      <c r="J337" s="8">
        <v>1500</v>
      </c>
      <c r="K337" s="8">
        <f t="shared" si="27"/>
        <v>6000</v>
      </c>
      <c r="L337" s="5" t="s">
        <v>26</v>
      </c>
      <c r="M337" s="7" t="b">
        <f t="shared" ca="1" si="28"/>
        <v>0</v>
      </c>
      <c r="N337" s="16" t="b">
        <f t="shared" ca="1" si="29"/>
        <v>0</v>
      </c>
    </row>
    <row r="338" spans="1:14" x14ac:dyDescent="0.35">
      <c r="A338" s="5">
        <v>337</v>
      </c>
      <c r="B338" s="12" t="s">
        <v>364</v>
      </c>
      <c r="C338" s="6">
        <v>44533</v>
      </c>
      <c r="D338" s="6" t="str">
        <f t="shared" si="25"/>
        <v>03</v>
      </c>
      <c r="E338" s="6" t="str">
        <f t="shared" si="26"/>
        <v>Dec</v>
      </c>
      <c r="F338" s="7" t="s">
        <v>20</v>
      </c>
      <c r="G338" s="7" t="s">
        <v>9</v>
      </c>
      <c r="H338" s="7" t="s">
        <v>17</v>
      </c>
      <c r="I338" s="8">
        <v>4</v>
      </c>
      <c r="J338" s="8">
        <v>1500</v>
      </c>
      <c r="K338" s="8">
        <f t="shared" si="27"/>
        <v>6000</v>
      </c>
      <c r="L338" s="5" t="s">
        <v>25</v>
      </c>
      <c r="M338" s="7" t="b">
        <f t="shared" ca="1" si="28"/>
        <v>0</v>
      </c>
      <c r="N338" s="16" t="b">
        <f t="shared" ca="1" si="29"/>
        <v>0</v>
      </c>
    </row>
    <row r="339" spans="1:14" x14ac:dyDescent="0.35">
      <c r="A339" s="5">
        <v>338</v>
      </c>
      <c r="B339" s="12" t="s">
        <v>365</v>
      </c>
      <c r="C339" s="6">
        <v>44534</v>
      </c>
      <c r="D339" s="6" t="str">
        <f t="shared" si="25"/>
        <v>04</v>
      </c>
      <c r="E339" s="6" t="str">
        <f t="shared" si="26"/>
        <v>Dec</v>
      </c>
      <c r="F339" s="7" t="s">
        <v>8</v>
      </c>
      <c r="G339" s="7" t="s">
        <v>9</v>
      </c>
      <c r="H339" s="7" t="s">
        <v>17</v>
      </c>
      <c r="I339" s="8">
        <v>4</v>
      </c>
      <c r="J339" s="8">
        <v>1500</v>
      </c>
      <c r="K339" s="8">
        <f t="shared" si="27"/>
        <v>6000</v>
      </c>
      <c r="L339" s="5" t="s">
        <v>26</v>
      </c>
      <c r="M339" s="7" t="b">
        <f t="shared" ca="1" si="28"/>
        <v>0</v>
      </c>
      <c r="N339" s="16" t="b">
        <f t="shared" ca="1" si="29"/>
        <v>0</v>
      </c>
    </row>
    <row r="340" spans="1:14" x14ac:dyDescent="0.35">
      <c r="A340" s="5">
        <v>339</v>
      </c>
      <c r="B340" s="12" t="s">
        <v>366</v>
      </c>
      <c r="C340" s="6">
        <v>44535</v>
      </c>
      <c r="D340" s="6" t="str">
        <f t="shared" si="25"/>
        <v>05</v>
      </c>
      <c r="E340" s="6" t="str">
        <f t="shared" si="26"/>
        <v>Dec</v>
      </c>
      <c r="F340" s="7" t="s">
        <v>11</v>
      </c>
      <c r="G340" s="7" t="s">
        <v>9</v>
      </c>
      <c r="H340" s="7" t="s">
        <v>17</v>
      </c>
      <c r="I340" s="8">
        <v>4</v>
      </c>
      <c r="J340" s="8">
        <v>1500</v>
      </c>
      <c r="K340" s="8">
        <f t="shared" si="27"/>
        <v>6000</v>
      </c>
      <c r="L340" s="5" t="s">
        <v>25</v>
      </c>
      <c r="M340" s="7" t="b">
        <f t="shared" ca="1" si="28"/>
        <v>0</v>
      </c>
      <c r="N340" s="16" t="b">
        <f t="shared" ca="1" si="29"/>
        <v>0</v>
      </c>
    </row>
    <row r="341" spans="1:14" x14ac:dyDescent="0.35">
      <c r="A341" s="5">
        <v>340</v>
      </c>
      <c r="B341" s="12" t="s">
        <v>367</v>
      </c>
      <c r="C341" s="6">
        <v>44536</v>
      </c>
      <c r="D341" s="6" t="str">
        <f t="shared" si="25"/>
        <v>06</v>
      </c>
      <c r="E341" s="6" t="str">
        <f t="shared" si="26"/>
        <v>Dec</v>
      </c>
      <c r="F341" s="7" t="s">
        <v>14</v>
      </c>
      <c r="G341" s="7" t="s">
        <v>9</v>
      </c>
      <c r="H341" s="7" t="s">
        <v>17</v>
      </c>
      <c r="I341" s="8">
        <v>4</v>
      </c>
      <c r="J341" s="8">
        <v>1500</v>
      </c>
      <c r="K341" s="8">
        <f t="shared" si="27"/>
        <v>6000</v>
      </c>
      <c r="L341" s="5" t="s">
        <v>26</v>
      </c>
      <c r="M341" s="7" t="b">
        <f t="shared" ca="1" si="28"/>
        <v>0</v>
      </c>
      <c r="N341" s="16" t="b">
        <f t="shared" ca="1" si="29"/>
        <v>0</v>
      </c>
    </row>
    <row r="342" spans="1:14" x14ac:dyDescent="0.35">
      <c r="A342" s="5">
        <v>341</v>
      </c>
      <c r="B342" s="12" t="s">
        <v>368</v>
      </c>
      <c r="C342" s="6">
        <v>44537</v>
      </c>
      <c r="D342" s="6" t="str">
        <f t="shared" si="25"/>
        <v>07</v>
      </c>
      <c r="E342" s="6" t="str">
        <f t="shared" si="26"/>
        <v>Dec</v>
      </c>
      <c r="F342" s="7" t="s">
        <v>16</v>
      </c>
      <c r="G342" s="7" t="s">
        <v>9</v>
      </c>
      <c r="H342" s="7" t="s">
        <v>17</v>
      </c>
      <c r="I342" s="8">
        <v>4</v>
      </c>
      <c r="J342" s="8">
        <v>1500</v>
      </c>
      <c r="K342" s="8">
        <f t="shared" si="27"/>
        <v>6000</v>
      </c>
      <c r="L342" s="5" t="s">
        <v>25</v>
      </c>
      <c r="M342" s="7" t="b">
        <f t="shared" ca="1" si="28"/>
        <v>0</v>
      </c>
      <c r="N342" s="16" t="b">
        <f t="shared" ca="1" si="29"/>
        <v>0</v>
      </c>
    </row>
    <row r="343" spans="1:14" x14ac:dyDescent="0.35">
      <c r="A343" s="5">
        <v>342</v>
      </c>
      <c r="B343" s="12" t="s">
        <v>369</v>
      </c>
      <c r="C343" s="6">
        <v>44538</v>
      </c>
      <c r="D343" s="6" t="str">
        <f t="shared" si="25"/>
        <v>08</v>
      </c>
      <c r="E343" s="6" t="str">
        <f t="shared" si="26"/>
        <v>Dec</v>
      </c>
      <c r="F343" s="7" t="s">
        <v>18</v>
      </c>
      <c r="G343" s="7" t="s">
        <v>9</v>
      </c>
      <c r="H343" s="7" t="s">
        <v>17</v>
      </c>
      <c r="I343" s="8">
        <v>4</v>
      </c>
      <c r="J343" s="8">
        <v>1500</v>
      </c>
      <c r="K343" s="8">
        <f t="shared" si="27"/>
        <v>6000</v>
      </c>
      <c r="L343" s="5" t="s">
        <v>26</v>
      </c>
      <c r="M343" s="7" t="b">
        <f t="shared" ca="1" si="28"/>
        <v>0</v>
      </c>
      <c r="N343" s="16" t="b">
        <f t="shared" ca="1" si="29"/>
        <v>0</v>
      </c>
    </row>
    <row r="344" spans="1:14" x14ac:dyDescent="0.35">
      <c r="A344" s="5">
        <v>343</v>
      </c>
      <c r="B344" s="12" t="s">
        <v>370</v>
      </c>
      <c r="C344" s="6">
        <v>44539</v>
      </c>
      <c r="D344" s="6" t="str">
        <f t="shared" si="25"/>
        <v>09</v>
      </c>
      <c r="E344" s="6" t="str">
        <f t="shared" si="26"/>
        <v>Dec</v>
      </c>
      <c r="F344" s="7" t="s">
        <v>20</v>
      </c>
      <c r="G344" s="7" t="s">
        <v>9</v>
      </c>
      <c r="H344" s="7" t="s">
        <v>17</v>
      </c>
      <c r="I344" s="8">
        <v>4</v>
      </c>
      <c r="J344" s="8">
        <v>1500</v>
      </c>
      <c r="K344" s="8">
        <f t="shared" si="27"/>
        <v>6000</v>
      </c>
      <c r="L344" s="5" t="s">
        <v>25</v>
      </c>
      <c r="M344" s="7" t="b">
        <f t="shared" ca="1" si="28"/>
        <v>0</v>
      </c>
      <c r="N344" s="16" t="b">
        <f t="shared" ca="1" si="29"/>
        <v>0</v>
      </c>
    </row>
    <row r="345" spans="1:14" x14ac:dyDescent="0.35">
      <c r="A345" s="5">
        <v>344</v>
      </c>
      <c r="B345" s="12" t="s">
        <v>371</v>
      </c>
      <c r="C345" s="6">
        <v>44540</v>
      </c>
      <c r="D345" s="6" t="str">
        <f t="shared" si="25"/>
        <v>10</v>
      </c>
      <c r="E345" s="6" t="str">
        <f t="shared" si="26"/>
        <v>Dec</v>
      </c>
      <c r="F345" s="7" t="s">
        <v>8</v>
      </c>
      <c r="G345" s="7" t="s">
        <v>9</v>
      </c>
      <c r="H345" s="7" t="s">
        <v>10</v>
      </c>
      <c r="I345" s="8">
        <v>2</v>
      </c>
      <c r="J345" s="8">
        <v>210</v>
      </c>
      <c r="K345" s="8">
        <f t="shared" si="27"/>
        <v>420</v>
      </c>
      <c r="L345" s="5" t="s">
        <v>26</v>
      </c>
      <c r="M345" s="7" t="b">
        <f t="shared" ca="1" si="28"/>
        <v>0</v>
      </c>
      <c r="N345" s="16" t="b">
        <f t="shared" ca="1" si="29"/>
        <v>0</v>
      </c>
    </row>
    <row r="346" spans="1:14" x14ac:dyDescent="0.35">
      <c r="A346" s="5">
        <v>345</v>
      </c>
      <c r="B346" s="12" t="s">
        <v>372</v>
      </c>
      <c r="C346" s="6">
        <v>44541</v>
      </c>
      <c r="D346" s="6" t="str">
        <f t="shared" si="25"/>
        <v>11</v>
      </c>
      <c r="E346" s="6" t="str">
        <f t="shared" si="26"/>
        <v>Dec</v>
      </c>
      <c r="F346" s="7" t="s">
        <v>11</v>
      </c>
      <c r="G346" s="7" t="s">
        <v>12</v>
      </c>
      <c r="H346" s="7" t="s">
        <v>15</v>
      </c>
      <c r="I346" s="8">
        <v>7</v>
      </c>
      <c r="J346" s="8">
        <v>2100</v>
      </c>
      <c r="K346" s="8">
        <f t="shared" si="27"/>
        <v>14700</v>
      </c>
      <c r="L346" s="5" t="s">
        <v>25</v>
      </c>
      <c r="M346" s="7" t="b">
        <f t="shared" ca="1" si="28"/>
        <v>0</v>
      </c>
      <c r="N346" s="16" t="b">
        <f t="shared" ca="1" si="29"/>
        <v>0</v>
      </c>
    </row>
    <row r="347" spans="1:14" x14ac:dyDescent="0.35">
      <c r="A347" s="5">
        <v>346</v>
      </c>
      <c r="B347" s="12" t="s">
        <v>373</v>
      </c>
      <c r="C347" s="6">
        <v>44542</v>
      </c>
      <c r="D347" s="6" t="str">
        <f t="shared" si="25"/>
        <v>12</v>
      </c>
      <c r="E347" s="6" t="str">
        <f t="shared" si="26"/>
        <v>Dec</v>
      </c>
      <c r="F347" s="7" t="s">
        <v>14</v>
      </c>
      <c r="G347" s="7" t="s">
        <v>9</v>
      </c>
      <c r="H347" s="7" t="s">
        <v>17</v>
      </c>
      <c r="I347" s="8">
        <v>6</v>
      </c>
      <c r="J347" s="8">
        <v>1200</v>
      </c>
      <c r="K347" s="8">
        <f t="shared" si="27"/>
        <v>7200</v>
      </c>
      <c r="L347" s="5" t="s">
        <v>26</v>
      </c>
      <c r="M347" s="7" t="b">
        <f t="shared" ca="1" si="28"/>
        <v>0</v>
      </c>
      <c r="N347" s="16" t="b">
        <f t="shared" ca="1" si="29"/>
        <v>0</v>
      </c>
    </row>
    <row r="348" spans="1:14" x14ac:dyDescent="0.35">
      <c r="A348" s="5">
        <v>347</v>
      </c>
      <c r="B348" s="12" t="s">
        <v>374</v>
      </c>
      <c r="C348" s="6">
        <v>44543</v>
      </c>
      <c r="D348" s="6" t="str">
        <f t="shared" si="25"/>
        <v>13</v>
      </c>
      <c r="E348" s="6" t="str">
        <f t="shared" si="26"/>
        <v>Dec</v>
      </c>
      <c r="F348" s="7" t="s">
        <v>16</v>
      </c>
      <c r="G348" s="7" t="s">
        <v>12</v>
      </c>
      <c r="H348" s="7" t="s">
        <v>19</v>
      </c>
      <c r="I348" s="8">
        <v>5</v>
      </c>
      <c r="J348" s="8">
        <v>300</v>
      </c>
      <c r="K348" s="8">
        <f t="shared" si="27"/>
        <v>1500</v>
      </c>
      <c r="L348" s="5" t="s">
        <v>25</v>
      </c>
      <c r="M348" s="7" t="b">
        <f t="shared" ca="1" si="28"/>
        <v>0</v>
      </c>
      <c r="N348" s="16" t="b">
        <f t="shared" ca="1" si="29"/>
        <v>0</v>
      </c>
    </row>
    <row r="349" spans="1:14" x14ac:dyDescent="0.35">
      <c r="A349" s="5">
        <v>348</v>
      </c>
      <c r="B349" s="12" t="s">
        <v>375</v>
      </c>
      <c r="C349" s="6">
        <v>44544</v>
      </c>
      <c r="D349" s="6" t="str">
        <f t="shared" si="25"/>
        <v>14</v>
      </c>
      <c r="E349" s="6" t="str">
        <f t="shared" si="26"/>
        <v>Dec</v>
      </c>
      <c r="F349" s="7" t="s">
        <v>18</v>
      </c>
      <c r="G349" s="7" t="s">
        <v>9</v>
      </c>
      <c r="H349" s="7" t="s">
        <v>21</v>
      </c>
      <c r="I349" s="8">
        <v>4</v>
      </c>
      <c r="J349" s="8">
        <v>200</v>
      </c>
      <c r="K349" s="8">
        <f t="shared" si="27"/>
        <v>800</v>
      </c>
      <c r="L349" s="5" t="s">
        <v>26</v>
      </c>
      <c r="M349" s="7" t="b">
        <f t="shared" ca="1" si="28"/>
        <v>0</v>
      </c>
      <c r="N349" s="16" t="b">
        <f t="shared" ca="1" si="29"/>
        <v>0</v>
      </c>
    </row>
    <row r="350" spans="1:14" x14ac:dyDescent="0.35">
      <c r="A350" s="5">
        <v>349</v>
      </c>
      <c r="B350" s="12" t="s">
        <v>376</v>
      </c>
      <c r="C350" s="6">
        <v>44545</v>
      </c>
      <c r="D350" s="6" t="str">
        <f t="shared" si="25"/>
        <v>15</v>
      </c>
      <c r="E350" s="6" t="str">
        <f t="shared" si="26"/>
        <v>Dec</v>
      </c>
      <c r="F350" s="7" t="s">
        <v>20</v>
      </c>
      <c r="G350" s="7" t="s">
        <v>9</v>
      </c>
      <c r="H350" s="7" t="s">
        <v>10</v>
      </c>
      <c r="I350" s="8">
        <v>3</v>
      </c>
      <c r="J350" s="8">
        <v>190</v>
      </c>
      <c r="K350" s="8">
        <f t="shared" si="27"/>
        <v>570</v>
      </c>
      <c r="L350" s="5" t="s">
        <v>25</v>
      </c>
      <c r="M350" s="7" t="b">
        <f t="shared" ca="1" si="28"/>
        <v>0</v>
      </c>
      <c r="N350" s="16" t="b">
        <f t="shared" ca="1" si="29"/>
        <v>0</v>
      </c>
    </row>
    <row r="351" spans="1:14" x14ac:dyDescent="0.35">
      <c r="A351" s="5">
        <v>350</v>
      </c>
      <c r="B351" s="12" t="s">
        <v>377</v>
      </c>
      <c r="C351" s="6">
        <v>44546</v>
      </c>
      <c r="D351" s="6" t="str">
        <f t="shared" si="25"/>
        <v>16</v>
      </c>
      <c r="E351" s="6" t="str">
        <f t="shared" si="26"/>
        <v>Dec</v>
      </c>
      <c r="F351" s="7" t="s">
        <v>20</v>
      </c>
      <c r="G351" s="7" t="s">
        <v>9</v>
      </c>
      <c r="H351" s="7" t="s">
        <v>13</v>
      </c>
      <c r="I351" s="8">
        <v>2</v>
      </c>
      <c r="J351" s="8">
        <v>2100</v>
      </c>
      <c r="K351" s="8">
        <f t="shared" si="27"/>
        <v>4200</v>
      </c>
      <c r="L351" s="5" t="s">
        <v>26</v>
      </c>
      <c r="M351" s="7" t="b">
        <f t="shared" ca="1" si="28"/>
        <v>0</v>
      </c>
      <c r="N351" s="16" t="b">
        <f t="shared" ca="1" si="29"/>
        <v>0</v>
      </c>
    </row>
    <row r="352" spans="1:14" x14ac:dyDescent="0.35">
      <c r="A352" s="5">
        <v>351</v>
      </c>
      <c r="B352" s="12" t="s">
        <v>378</v>
      </c>
      <c r="C352" s="6">
        <v>44547</v>
      </c>
      <c r="D352" s="6" t="str">
        <f t="shared" si="25"/>
        <v>17</v>
      </c>
      <c r="E352" s="6" t="str">
        <f t="shared" si="26"/>
        <v>Dec</v>
      </c>
      <c r="F352" s="7" t="s">
        <v>8</v>
      </c>
      <c r="G352" s="7" t="s">
        <v>9</v>
      </c>
      <c r="H352" s="7" t="s">
        <v>10</v>
      </c>
      <c r="I352" s="8">
        <v>7</v>
      </c>
      <c r="J352" s="8">
        <v>210</v>
      </c>
      <c r="K352" s="8">
        <f t="shared" si="27"/>
        <v>1470</v>
      </c>
      <c r="L352" s="5" t="s">
        <v>25</v>
      </c>
      <c r="M352" s="7" t="b">
        <f t="shared" ca="1" si="28"/>
        <v>0</v>
      </c>
      <c r="N352" s="16" t="b">
        <f t="shared" ca="1" si="29"/>
        <v>0</v>
      </c>
    </row>
    <row r="353" spans="1:14" x14ac:dyDescent="0.35">
      <c r="A353" s="5">
        <v>352</v>
      </c>
      <c r="B353" s="12" t="s">
        <v>379</v>
      </c>
      <c r="C353" s="6">
        <v>44548</v>
      </c>
      <c r="D353" s="6" t="str">
        <f t="shared" si="25"/>
        <v>18</v>
      </c>
      <c r="E353" s="6" t="str">
        <f t="shared" si="26"/>
        <v>Dec</v>
      </c>
      <c r="F353" s="7" t="s">
        <v>8</v>
      </c>
      <c r="G353" s="7" t="s">
        <v>12</v>
      </c>
      <c r="H353" s="7" t="s">
        <v>13</v>
      </c>
      <c r="I353" s="8">
        <v>6</v>
      </c>
      <c r="J353" s="8">
        <v>2100</v>
      </c>
      <c r="K353" s="8">
        <f t="shared" si="27"/>
        <v>12600</v>
      </c>
      <c r="L353" s="5" t="s">
        <v>26</v>
      </c>
      <c r="M353" s="7" t="b">
        <f t="shared" ca="1" si="28"/>
        <v>0</v>
      </c>
      <c r="N353" s="16" t="b">
        <f t="shared" ca="1" si="29"/>
        <v>0</v>
      </c>
    </row>
    <row r="354" spans="1:14" x14ac:dyDescent="0.35">
      <c r="A354" s="5">
        <v>353</v>
      </c>
      <c r="B354" s="12" t="s">
        <v>380</v>
      </c>
      <c r="C354" s="6">
        <v>44549</v>
      </c>
      <c r="D354" s="6" t="str">
        <f t="shared" si="25"/>
        <v>19</v>
      </c>
      <c r="E354" s="6" t="str">
        <f t="shared" si="26"/>
        <v>Dec</v>
      </c>
      <c r="F354" s="7" t="s">
        <v>8</v>
      </c>
      <c r="G354" s="7" t="s">
        <v>22</v>
      </c>
      <c r="H354" s="7" t="s">
        <v>15</v>
      </c>
      <c r="I354" s="8">
        <v>5</v>
      </c>
      <c r="J354" s="8">
        <v>1200</v>
      </c>
      <c r="K354" s="8">
        <f t="shared" si="27"/>
        <v>6000</v>
      </c>
      <c r="L354" s="5" t="s">
        <v>25</v>
      </c>
      <c r="M354" s="7" t="b">
        <f t="shared" ca="1" si="28"/>
        <v>0</v>
      </c>
      <c r="N354" s="16" t="b">
        <f t="shared" ca="1" si="29"/>
        <v>0</v>
      </c>
    </row>
    <row r="355" spans="1:14" x14ac:dyDescent="0.35">
      <c r="A355" s="5">
        <v>354</v>
      </c>
      <c r="B355" s="12" t="s">
        <v>381</v>
      </c>
      <c r="C355" s="6">
        <v>44550</v>
      </c>
      <c r="D355" s="6" t="str">
        <f t="shared" si="25"/>
        <v>20</v>
      </c>
      <c r="E355" s="6" t="str">
        <f t="shared" si="26"/>
        <v>Dec</v>
      </c>
      <c r="F355" s="7" t="s">
        <v>8</v>
      </c>
      <c r="G355" s="7" t="s">
        <v>23</v>
      </c>
      <c r="H355" s="7" t="s">
        <v>17</v>
      </c>
      <c r="I355" s="8">
        <v>4</v>
      </c>
      <c r="J355" s="8">
        <v>1500</v>
      </c>
      <c r="K355" s="8">
        <f t="shared" si="27"/>
        <v>6000</v>
      </c>
      <c r="L355" s="5" t="s">
        <v>26</v>
      </c>
      <c r="M355" s="7" t="b">
        <f t="shared" ca="1" si="28"/>
        <v>0</v>
      </c>
      <c r="N355" s="16" t="b">
        <f t="shared" ca="1" si="29"/>
        <v>0</v>
      </c>
    </row>
    <row r="356" spans="1:14" x14ac:dyDescent="0.35">
      <c r="A356" s="5">
        <v>355</v>
      </c>
      <c r="B356" s="12" t="s">
        <v>382</v>
      </c>
      <c r="C356" s="6">
        <v>44551</v>
      </c>
      <c r="D356" s="6" t="str">
        <f t="shared" si="25"/>
        <v>21</v>
      </c>
      <c r="E356" s="6" t="str">
        <f t="shared" si="26"/>
        <v>Dec</v>
      </c>
      <c r="F356" s="7" t="s">
        <v>8</v>
      </c>
      <c r="G356" s="7" t="s">
        <v>9</v>
      </c>
      <c r="H356" s="7" t="s">
        <v>19</v>
      </c>
      <c r="I356" s="8">
        <v>3</v>
      </c>
      <c r="J356" s="8">
        <v>300</v>
      </c>
      <c r="K356" s="8">
        <f t="shared" si="27"/>
        <v>900</v>
      </c>
      <c r="L356" s="5" t="s">
        <v>25</v>
      </c>
      <c r="M356" s="7" t="b">
        <f t="shared" ca="1" si="28"/>
        <v>0</v>
      </c>
      <c r="N356" s="16" t="b">
        <f t="shared" ca="1" si="29"/>
        <v>0</v>
      </c>
    </row>
    <row r="357" spans="1:14" x14ac:dyDescent="0.35">
      <c r="A357" s="5">
        <v>356</v>
      </c>
      <c r="B357" s="12" t="s">
        <v>383</v>
      </c>
      <c r="C357" s="6">
        <v>44552</v>
      </c>
      <c r="D357" s="6" t="str">
        <f t="shared" si="25"/>
        <v>22</v>
      </c>
      <c r="E357" s="6" t="str">
        <f t="shared" si="26"/>
        <v>Dec</v>
      </c>
      <c r="F357" s="7" t="s">
        <v>8</v>
      </c>
      <c r="G357" s="7" t="s">
        <v>12</v>
      </c>
      <c r="H357" s="7" t="s">
        <v>21</v>
      </c>
      <c r="I357" s="8">
        <v>2</v>
      </c>
      <c r="J357" s="8">
        <v>190</v>
      </c>
      <c r="K357" s="8">
        <f t="shared" si="27"/>
        <v>380</v>
      </c>
      <c r="L357" s="5" t="s">
        <v>26</v>
      </c>
      <c r="M357" s="7" t="b">
        <f t="shared" ca="1" si="28"/>
        <v>0</v>
      </c>
      <c r="N357" s="16" t="b">
        <f t="shared" ca="1" si="29"/>
        <v>0</v>
      </c>
    </row>
    <row r="358" spans="1:14" x14ac:dyDescent="0.35">
      <c r="A358" s="5">
        <v>357</v>
      </c>
      <c r="B358" s="12" t="s">
        <v>384</v>
      </c>
      <c r="C358" s="6">
        <v>44553</v>
      </c>
      <c r="D358" s="6" t="str">
        <f t="shared" si="25"/>
        <v>23</v>
      </c>
      <c r="E358" s="6" t="str">
        <f t="shared" si="26"/>
        <v>Dec</v>
      </c>
      <c r="F358" s="7" t="s">
        <v>8</v>
      </c>
      <c r="G358" s="7" t="s">
        <v>22</v>
      </c>
      <c r="H358" s="7" t="s">
        <v>10</v>
      </c>
      <c r="I358" s="8">
        <v>7</v>
      </c>
      <c r="J358" s="8">
        <v>210</v>
      </c>
      <c r="K358" s="8">
        <f t="shared" si="27"/>
        <v>1470</v>
      </c>
      <c r="L358" s="5" t="s">
        <v>25</v>
      </c>
      <c r="M358" s="7" t="b">
        <f t="shared" ca="1" si="28"/>
        <v>0</v>
      </c>
      <c r="N358" s="16" t="b">
        <f t="shared" ca="1" si="29"/>
        <v>0</v>
      </c>
    </row>
    <row r="359" spans="1:14" x14ac:dyDescent="0.35">
      <c r="A359" s="5">
        <v>358</v>
      </c>
      <c r="B359" s="12" t="s">
        <v>385</v>
      </c>
      <c r="C359" s="6">
        <v>44554</v>
      </c>
      <c r="D359" s="6" t="str">
        <f t="shared" si="25"/>
        <v>24</v>
      </c>
      <c r="E359" s="6" t="str">
        <f t="shared" si="26"/>
        <v>Dec</v>
      </c>
      <c r="F359" s="7" t="s">
        <v>8</v>
      </c>
      <c r="G359" s="7" t="s">
        <v>23</v>
      </c>
      <c r="H359" s="7" t="s">
        <v>13</v>
      </c>
      <c r="I359" s="8">
        <v>6</v>
      </c>
      <c r="J359" s="8">
        <v>2100</v>
      </c>
      <c r="K359" s="8">
        <f t="shared" si="27"/>
        <v>12600</v>
      </c>
      <c r="L359" s="5" t="s">
        <v>26</v>
      </c>
      <c r="M359" s="7" t="b">
        <f t="shared" ca="1" si="28"/>
        <v>0</v>
      </c>
      <c r="N359" s="16" t="b">
        <f t="shared" ca="1" si="29"/>
        <v>0</v>
      </c>
    </row>
    <row r="360" spans="1:14" x14ac:dyDescent="0.35">
      <c r="A360" s="5">
        <v>359</v>
      </c>
      <c r="B360" s="12" t="s">
        <v>386</v>
      </c>
      <c r="C360" s="6">
        <v>44555</v>
      </c>
      <c r="D360" s="6" t="str">
        <f t="shared" si="25"/>
        <v>25</v>
      </c>
      <c r="E360" s="6" t="str">
        <f t="shared" si="26"/>
        <v>Dec</v>
      </c>
      <c r="F360" s="7" t="s">
        <v>11</v>
      </c>
      <c r="G360" s="7" t="s">
        <v>12</v>
      </c>
      <c r="H360" s="7" t="s">
        <v>13</v>
      </c>
      <c r="I360" s="8">
        <v>6</v>
      </c>
      <c r="J360" s="8">
        <v>2100</v>
      </c>
      <c r="K360" s="8">
        <f t="shared" si="27"/>
        <v>12600</v>
      </c>
      <c r="L360" s="5" t="s">
        <v>25</v>
      </c>
      <c r="M360" s="7" t="b">
        <f t="shared" ca="1" si="28"/>
        <v>0</v>
      </c>
      <c r="N360" s="16" t="b">
        <f t="shared" ca="1" si="29"/>
        <v>0</v>
      </c>
    </row>
    <row r="361" spans="1:14" x14ac:dyDescent="0.35">
      <c r="A361" s="5">
        <v>360</v>
      </c>
      <c r="B361" s="12" t="s">
        <v>387</v>
      </c>
      <c r="C361" s="6">
        <v>44556</v>
      </c>
      <c r="D361" s="6" t="str">
        <f t="shared" si="25"/>
        <v>26</v>
      </c>
      <c r="E361" s="6" t="str">
        <f t="shared" si="26"/>
        <v>Dec</v>
      </c>
      <c r="F361" s="7" t="s">
        <v>11</v>
      </c>
      <c r="G361" s="7" t="s">
        <v>9</v>
      </c>
      <c r="H361" s="7" t="s">
        <v>13</v>
      </c>
      <c r="I361" s="8">
        <v>6</v>
      </c>
      <c r="J361" s="8">
        <v>2100</v>
      </c>
      <c r="K361" s="8">
        <f t="shared" si="27"/>
        <v>12600</v>
      </c>
      <c r="L361" s="5" t="s">
        <v>26</v>
      </c>
      <c r="M361" s="7" t="b">
        <f t="shared" ca="1" si="28"/>
        <v>0</v>
      </c>
      <c r="N361" s="16" t="b">
        <f t="shared" ca="1" si="29"/>
        <v>0</v>
      </c>
    </row>
    <row r="362" spans="1:14" x14ac:dyDescent="0.35">
      <c r="A362" s="5">
        <v>361</v>
      </c>
      <c r="B362" s="12" t="s">
        <v>388</v>
      </c>
      <c r="C362" s="6">
        <v>44557</v>
      </c>
      <c r="D362" s="6" t="str">
        <f t="shared" si="25"/>
        <v>27</v>
      </c>
      <c r="E362" s="6" t="str">
        <f t="shared" si="26"/>
        <v>Dec</v>
      </c>
      <c r="F362" s="7" t="s">
        <v>11</v>
      </c>
      <c r="G362" s="7" t="s">
        <v>22</v>
      </c>
      <c r="H362" s="7" t="s">
        <v>13</v>
      </c>
      <c r="I362" s="8">
        <v>6</v>
      </c>
      <c r="J362" s="8">
        <v>2100</v>
      </c>
      <c r="K362" s="8">
        <f t="shared" si="27"/>
        <v>12600</v>
      </c>
      <c r="L362" s="5" t="s">
        <v>25</v>
      </c>
      <c r="M362" s="7" t="b">
        <f t="shared" ca="1" si="28"/>
        <v>0</v>
      </c>
      <c r="N362" s="16" t="b">
        <f t="shared" ca="1" si="29"/>
        <v>0</v>
      </c>
    </row>
    <row r="363" spans="1:14" x14ac:dyDescent="0.35">
      <c r="A363" s="5">
        <v>362</v>
      </c>
      <c r="B363" s="12" t="s">
        <v>389</v>
      </c>
      <c r="C363" s="6">
        <v>44558</v>
      </c>
      <c r="D363" s="6" t="str">
        <f t="shared" si="25"/>
        <v>28</v>
      </c>
      <c r="E363" s="6" t="str">
        <f t="shared" si="26"/>
        <v>Dec</v>
      </c>
      <c r="F363" s="7" t="s">
        <v>11</v>
      </c>
      <c r="G363" s="7" t="s">
        <v>23</v>
      </c>
      <c r="H363" s="7" t="s">
        <v>13</v>
      </c>
      <c r="I363" s="8">
        <v>6</v>
      </c>
      <c r="J363" s="8">
        <v>2100</v>
      </c>
      <c r="K363" s="8">
        <f t="shared" si="27"/>
        <v>12600</v>
      </c>
      <c r="L363" s="5" t="s">
        <v>26</v>
      </c>
      <c r="M363" s="7" t="b">
        <f t="shared" ca="1" si="28"/>
        <v>0</v>
      </c>
      <c r="N363" s="16" t="b">
        <f t="shared" ca="1" si="29"/>
        <v>0</v>
      </c>
    </row>
    <row r="364" spans="1:14" x14ac:dyDescent="0.35">
      <c r="A364" s="5">
        <v>363</v>
      </c>
      <c r="B364" s="12" t="s">
        <v>390</v>
      </c>
      <c r="C364" s="6">
        <v>44559</v>
      </c>
      <c r="D364" s="6" t="str">
        <f t="shared" si="25"/>
        <v>29</v>
      </c>
      <c r="E364" s="6" t="str">
        <f t="shared" si="26"/>
        <v>Dec</v>
      </c>
      <c r="F364" s="7" t="s">
        <v>11</v>
      </c>
      <c r="G364" s="7" t="s">
        <v>12</v>
      </c>
      <c r="H364" s="7" t="s">
        <v>13</v>
      </c>
      <c r="I364" s="8">
        <v>6</v>
      </c>
      <c r="J364" s="8">
        <v>2100</v>
      </c>
      <c r="K364" s="8">
        <f t="shared" si="27"/>
        <v>12600</v>
      </c>
      <c r="L364" s="5" t="s">
        <v>25</v>
      </c>
      <c r="M364" s="7" t="b">
        <f t="shared" ca="1" si="28"/>
        <v>0</v>
      </c>
      <c r="N364" s="16" t="b">
        <f t="shared" ca="1" si="29"/>
        <v>0</v>
      </c>
    </row>
    <row r="365" spans="1:14" x14ac:dyDescent="0.35">
      <c r="A365" s="5">
        <v>364</v>
      </c>
      <c r="B365" s="12" t="s">
        <v>391</v>
      </c>
      <c r="C365" s="6">
        <v>44560</v>
      </c>
      <c r="D365" s="6" t="str">
        <f t="shared" si="25"/>
        <v>30</v>
      </c>
      <c r="E365" s="6" t="str">
        <f t="shared" si="26"/>
        <v>Dec</v>
      </c>
      <c r="F365" s="7" t="s">
        <v>11</v>
      </c>
      <c r="G365" s="7" t="s">
        <v>9</v>
      </c>
      <c r="H365" s="7" t="s">
        <v>13</v>
      </c>
      <c r="I365" s="8">
        <v>6</v>
      </c>
      <c r="J365" s="8">
        <v>2100</v>
      </c>
      <c r="K365" s="8">
        <f t="shared" si="27"/>
        <v>12600</v>
      </c>
      <c r="L365" s="5" t="s">
        <v>26</v>
      </c>
      <c r="M365" s="7" t="b">
        <f t="shared" ca="1" si="28"/>
        <v>0</v>
      </c>
      <c r="N365" s="16" t="b">
        <f t="shared" ca="1" si="29"/>
        <v>0</v>
      </c>
    </row>
    <row r="366" spans="1:14" x14ac:dyDescent="0.35">
      <c r="A366" s="5">
        <v>365</v>
      </c>
      <c r="B366" s="12" t="s">
        <v>392</v>
      </c>
      <c r="C366" s="6">
        <v>44561</v>
      </c>
      <c r="D366" s="6" t="str">
        <f t="shared" si="25"/>
        <v>31</v>
      </c>
      <c r="E366" s="6" t="str">
        <f t="shared" si="26"/>
        <v>Dec</v>
      </c>
      <c r="F366" s="7" t="s">
        <v>11</v>
      </c>
      <c r="G366" s="7" t="s">
        <v>22</v>
      </c>
      <c r="H366" s="7" t="s">
        <v>15</v>
      </c>
      <c r="I366" s="8">
        <v>6</v>
      </c>
      <c r="J366" s="8">
        <v>1200</v>
      </c>
      <c r="K366" s="8">
        <f t="shared" si="27"/>
        <v>7200</v>
      </c>
      <c r="L366" s="5" t="s">
        <v>25</v>
      </c>
      <c r="M366" s="7" t="b">
        <f t="shared" ca="1" si="28"/>
        <v>0</v>
      </c>
      <c r="N366" s="16" t="b">
        <f t="shared" ca="1" si="29"/>
        <v>0</v>
      </c>
    </row>
    <row r="367" spans="1:14" x14ac:dyDescent="0.35">
      <c r="A367" s="5">
        <v>366</v>
      </c>
      <c r="B367" s="12" t="s">
        <v>393</v>
      </c>
      <c r="C367" s="6">
        <v>44562</v>
      </c>
      <c r="D367" s="6" t="str">
        <f t="shared" si="25"/>
        <v>01</v>
      </c>
      <c r="E367" s="6" t="str">
        <f t="shared" si="26"/>
        <v>Jan</v>
      </c>
      <c r="F367" s="7" t="s">
        <v>11</v>
      </c>
      <c r="G367" s="7" t="s">
        <v>23</v>
      </c>
      <c r="H367" s="7" t="s">
        <v>17</v>
      </c>
      <c r="I367" s="8">
        <v>5</v>
      </c>
      <c r="J367" s="8">
        <v>1500</v>
      </c>
      <c r="K367" s="8">
        <f t="shared" si="27"/>
        <v>7500</v>
      </c>
      <c r="L367" s="5" t="s">
        <v>26</v>
      </c>
      <c r="M367" s="7" t="b">
        <f t="shared" ca="1" si="28"/>
        <v>0</v>
      </c>
      <c r="N367" s="16" t="b">
        <f t="shared" ca="1" si="29"/>
        <v>0</v>
      </c>
    </row>
    <row r="368" spans="1:14" x14ac:dyDescent="0.35">
      <c r="B368" s="12" t="s">
        <v>394</v>
      </c>
      <c r="L368" s="5" t="s">
        <v>25</v>
      </c>
      <c r="M368" s="7" t="b">
        <f t="shared" ca="1" si="28"/>
        <v>0</v>
      </c>
      <c r="N368" s="16" t="b">
        <f t="shared" ca="1" si="29"/>
        <v>0</v>
      </c>
    </row>
    <row r="369" spans="2:14" x14ac:dyDescent="0.35">
      <c r="B369" s="12" t="s">
        <v>395</v>
      </c>
      <c r="L369" s="5" t="s">
        <v>26</v>
      </c>
      <c r="M369" s="7" t="b">
        <f t="shared" ca="1" si="28"/>
        <v>0</v>
      </c>
      <c r="N369" s="16" t="b">
        <f t="shared" ca="1" si="29"/>
        <v>0</v>
      </c>
    </row>
    <row r="370" spans="2:14" x14ac:dyDescent="0.35">
      <c r="B370" s="12" t="s">
        <v>396</v>
      </c>
      <c r="L370" s="5" t="s">
        <v>25</v>
      </c>
      <c r="M370" s="7" t="b">
        <f t="shared" ca="1" si="28"/>
        <v>0</v>
      </c>
      <c r="N370" s="16" t="b">
        <f t="shared" ca="1" si="29"/>
        <v>0</v>
      </c>
    </row>
    <row r="371" spans="2:14" x14ac:dyDescent="0.35">
      <c r="B371" s="12" t="s">
        <v>397</v>
      </c>
      <c r="L371" s="5" t="s">
        <v>26</v>
      </c>
      <c r="M371" s="7" t="b">
        <f t="shared" ca="1" si="28"/>
        <v>0</v>
      </c>
      <c r="N371" s="16" t="b">
        <f t="shared" ca="1" si="29"/>
        <v>0</v>
      </c>
    </row>
    <row r="372" spans="2:14" x14ac:dyDescent="0.35">
      <c r="B372" s="12" t="s">
        <v>398</v>
      </c>
      <c r="L372" s="5" t="s">
        <v>25</v>
      </c>
      <c r="M372" s="7" t="b">
        <f t="shared" ca="1" si="28"/>
        <v>0</v>
      </c>
      <c r="N372" s="16" t="b">
        <f t="shared" ca="1" si="29"/>
        <v>0</v>
      </c>
    </row>
    <row r="373" spans="2:14" x14ac:dyDescent="0.35">
      <c r="B373" s="12" t="s">
        <v>399</v>
      </c>
      <c r="L373" s="5" t="s">
        <v>26</v>
      </c>
      <c r="M373" s="7" t="b">
        <f t="shared" ca="1" si="28"/>
        <v>0</v>
      </c>
      <c r="N373" s="16" t="b">
        <f t="shared" ca="1" si="29"/>
        <v>0</v>
      </c>
    </row>
    <row r="374" spans="2:14" x14ac:dyDescent="0.35">
      <c r="B374" s="12" t="s">
        <v>400</v>
      </c>
      <c r="L374" s="5" t="s">
        <v>25</v>
      </c>
      <c r="M374" s="7" t="b">
        <f t="shared" ca="1" si="28"/>
        <v>0</v>
      </c>
      <c r="N374" s="16" t="b">
        <f t="shared" ca="1" si="29"/>
        <v>0</v>
      </c>
    </row>
    <row r="375" spans="2:14" x14ac:dyDescent="0.35">
      <c r="B375" s="12" t="s">
        <v>401</v>
      </c>
      <c r="L375" s="5" t="s">
        <v>26</v>
      </c>
      <c r="M375" s="7" t="b">
        <f t="shared" ca="1" si="28"/>
        <v>0</v>
      </c>
      <c r="N375" s="16" t="b">
        <f t="shared" ca="1" si="29"/>
        <v>0</v>
      </c>
    </row>
    <row r="376" spans="2:14" x14ac:dyDescent="0.35">
      <c r="B376" s="12" t="s">
        <v>402</v>
      </c>
      <c r="L376" s="5" t="s">
        <v>25</v>
      </c>
      <c r="M376" s="7" t="b">
        <f t="shared" ca="1" si="28"/>
        <v>0</v>
      </c>
      <c r="N376" s="16" t="b">
        <f t="shared" ca="1" si="29"/>
        <v>0</v>
      </c>
    </row>
    <row r="377" spans="2:14" x14ac:dyDescent="0.35">
      <c r="B377" s="12" t="s">
        <v>403</v>
      </c>
      <c r="L377" s="5" t="s">
        <v>26</v>
      </c>
      <c r="M377" s="7" t="b">
        <f t="shared" ca="1" si="28"/>
        <v>0</v>
      </c>
      <c r="N377" s="16" t="b">
        <f t="shared" ca="1" si="29"/>
        <v>0</v>
      </c>
    </row>
    <row r="378" spans="2:14" x14ac:dyDescent="0.35">
      <c r="B378" s="12" t="s">
        <v>404</v>
      </c>
      <c r="L378" s="5" t="s">
        <v>25</v>
      </c>
      <c r="M378" s="7" t="b">
        <f t="shared" ca="1" si="28"/>
        <v>0</v>
      </c>
      <c r="N378" s="16" t="b">
        <f t="shared" ca="1" si="29"/>
        <v>0</v>
      </c>
    </row>
    <row r="379" spans="2:14" x14ac:dyDescent="0.35">
      <c r="B379" s="12" t="s">
        <v>405</v>
      </c>
      <c r="L379" s="5" t="s">
        <v>26</v>
      </c>
      <c r="M379" s="7" t="b">
        <f t="shared" ca="1" si="28"/>
        <v>0</v>
      </c>
      <c r="N379" s="16" t="b">
        <f t="shared" ca="1" si="29"/>
        <v>0</v>
      </c>
    </row>
    <row r="380" spans="2:14" x14ac:dyDescent="0.35">
      <c r="B380" s="12" t="s">
        <v>406</v>
      </c>
      <c r="L380" s="5" t="s">
        <v>25</v>
      </c>
      <c r="M380" s="7" t="b">
        <f t="shared" ca="1" si="28"/>
        <v>0</v>
      </c>
      <c r="N380" s="16" t="b">
        <f t="shared" ca="1" si="29"/>
        <v>0</v>
      </c>
    </row>
    <row r="381" spans="2:14" x14ac:dyDescent="0.35">
      <c r="B381" s="12" t="s">
        <v>407</v>
      </c>
      <c r="L381" s="5" t="s">
        <v>26</v>
      </c>
      <c r="M381" s="7" t="b">
        <f t="shared" ca="1" si="28"/>
        <v>0</v>
      </c>
      <c r="N381" s="16" t="b">
        <f t="shared" ca="1" si="29"/>
        <v>0</v>
      </c>
    </row>
    <row r="382" spans="2:14" x14ac:dyDescent="0.35">
      <c r="B382" s="12" t="s">
        <v>408</v>
      </c>
      <c r="L382" s="5" t="s">
        <v>25</v>
      </c>
      <c r="M382" s="7" t="b">
        <f t="shared" ca="1" si="28"/>
        <v>0</v>
      </c>
      <c r="N382" s="16" t="b">
        <f t="shared" ca="1" si="29"/>
        <v>0</v>
      </c>
    </row>
    <row r="383" spans="2:14" x14ac:dyDescent="0.35">
      <c r="B383" s="12" t="s">
        <v>409</v>
      </c>
      <c r="L383" s="5" t="s">
        <v>26</v>
      </c>
      <c r="M383" s="7" t="b">
        <f t="shared" ca="1" si="28"/>
        <v>0</v>
      </c>
      <c r="N383" s="16" t="b">
        <f t="shared" ca="1" si="29"/>
        <v>0</v>
      </c>
    </row>
    <row r="384" spans="2:14" x14ac:dyDescent="0.35">
      <c r="B384" s="12" t="s">
        <v>410</v>
      </c>
      <c r="L384" s="5" t="s">
        <v>25</v>
      </c>
      <c r="M384" s="7" t="b">
        <f t="shared" ca="1" si="28"/>
        <v>0</v>
      </c>
      <c r="N384" s="16" t="b">
        <f t="shared" ca="1" si="29"/>
        <v>0</v>
      </c>
    </row>
    <row r="385" spans="2:14" x14ac:dyDescent="0.35">
      <c r="B385" s="12" t="s">
        <v>411</v>
      </c>
      <c r="L385" s="5" t="s">
        <v>26</v>
      </c>
      <c r="M385" s="7" t="b">
        <f t="shared" ca="1" si="28"/>
        <v>0</v>
      </c>
      <c r="N385" s="16" t="b">
        <f t="shared" ca="1" si="29"/>
        <v>0</v>
      </c>
    </row>
    <row r="386" spans="2:14" x14ac:dyDescent="0.35">
      <c r="B386" s="12" t="s">
        <v>412</v>
      </c>
      <c r="L386" s="5" t="s">
        <v>25</v>
      </c>
      <c r="M386" s="7" t="b">
        <f t="shared" ca="1" si="28"/>
        <v>0</v>
      </c>
      <c r="N386" s="16" t="b">
        <f t="shared" ca="1" si="29"/>
        <v>0</v>
      </c>
    </row>
    <row r="387" spans="2:14" x14ac:dyDescent="0.35">
      <c r="B387" s="12" t="s">
        <v>413</v>
      </c>
      <c r="L387" s="5" t="s">
        <v>26</v>
      </c>
      <c r="M387" s="7" t="b">
        <f t="shared" ref="M387:M450" ca="1" si="30">AND(A387&gt;=(TODAY()-28),A387&lt;TODAY())</f>
        <v>0</v>
      </c>
      <c r="N387" s="16" t="b">
        <f t="shared" ref="N387:N450" ca="1" si="31">AND(A387&gt;=(TODAY()-56),A387&lt;(TODAY()-28))</f>
        <v>0</v>
      </c>
    </row>
    <row r="388" spans="2:14" x14ac:dyDescent="0.35">
      <c r="B388" s="12" t="s">
        <v>414</v>
      </c>
      <c r="L388" s="5" t="s">
        <v>25</v>
      </c>
      <c r="M388" s="7" t="b">
        <f t="shared" ca="1" si="30"/>
        <v>0</v>
      </c>
      <c r="N388" s="16" t="b">
        <f t="shared" ca="1" si="31"/>
        <v>0</v>
      </c>
    </row>
    <row r="389" spans="2:14" x14ac:dyDescent="0.35">
      <c r="B389" s="12" t="s">
        <v>415</v>
      </c>
      <c r="L389" s="5" t="s">
        <v>26</v>
      </c>
      <c r="M389" s="7" t="b">
        <f t="shared" ca="1" si="30"/>
        <v>0</v>
      </c>
      <c r="N389" s="16" t="b">
        <f t="shared" ca="1" si="31"/>
        <v>0</v>
      </c>
    </row>
    <row r="390" spans="2:14" x14ac:dyDescent="0.35">
      <c r="B390" s="12" t="s">
        <v>416</v>
      </c>
      <c r="L390" s="5" t="s">
        <v>25</v>
      </c>
      <c r="M390" s="7" t="b">
        <f t="shared" ca="1" si="30"/>
        <v>0</v>
      </c>
      <c r="N390" s="16" t="b">
        <f t="shared" ca="1" si="31"/>
        <v>0</v>
      </c>
    </row>
    <row r="391" spans="2:14" x14ac:dyDescent="0.35">
      <c r="B391" s="12" t="s">
        <v>417</v>
      </c>
      <c r="L391" s="5" t="s">
        <v>26</v>
      </c>
      <c r="M391" s="7" t="b">
        <f t="shared" ca="1" si="30"/>
        <v>0</v>
      </c>
      <c r="N391" s="16" t="b">
        <f t="shared" ca="1" si="31"/>
        <v>0</v>
      </c>
    </row>
    <row r="392" spans="2:14" x14ac:dyDescent="0.35">
      <c r="B392" s="12" t="s">
        <v>418</v>
      </c>
      <c r="L392" s="5" t="s">
        <v>25</v>
      </c>
      <c r="M392" s="7" t="b">
        <f t="shared" ca="1" si="30"/>
        <v>0</v>
      </c>
      <c r="N392" s="16" t="b">
        <f t="shared" ca="1" si="31"/>
        <v>0</v>
      </c>
    </row>
    <row r="393" spans="2:14" x14ac:dyDescent="0.35">
      <c r="B393" s="12" t="s">
        <v>419</v>
      </c>
      <c r="L393" s="5" t="s">
        <v>26</v>
      </c>
      <c r="M393" s="7" t="b">
        <f t="shared" ca="1" si="30"/>
        <v>0</v>
      </c>
      <c r="N393" s="16" t="b">
        <f t="shared" ca="1" si="31"/>
        <v>0</v>
      </c>
    </row>
    <row r="394" spans="2:14" x14ac:dyDescent="0.35">
      <c r="B394" s="12" t="s">
        <v>420</v>
      </c>
      <c r="L394" s="5" t="s">
        <v>25</v>
      </c>
      <c r="M394" s="7" t="b">
        <f t="shared" ca="1" si="30"/>
        <v>0</v>
      </c>
      <c r="N394" s="16" t="b">
        <f t="shared" ca="1" si="31"/>
        <v>0</v>
      </c>
    </row>
    <row r="395" spans="2:14" x14ac:dyDescent="0.35">
      <c r="B395" s="12" t="s">
        <v>421</v>
      </c>
      <c r="L395" s="5" t="s">
        <v>26</v>
      </c>
      <c r="M395" s="7" t="b">
        <f t="shared" ca="1" si="30"/>
        <v>0</v>
      </c>
      <c r="N395" s="16" t="b">
        <f t="shared" ca="1" si="31"/>
        <v>0</v>
      </c>
    </row>
    <row r="396" spans="2:14" x14ac:dyDescent="0.35">
      <c r="B396" s="12" t="s">
        <v>422</v>
      </c>
      <c r="L396" s="5" t="s">
        <v>25</v>
      </c>
      <c r="M396" s="7" t="b">
        <f t="shared" ca="1" si="30"/>
        <v>0</v>
      </c>
      <c r="N396" s="16" t="b">
        <f t="shared" ca="1" si="31"/>
        <v>0</v>
      </c>
    </row>
    <row r="397" spans="2:14" x14ac:dyDescent="0.35">
      <c r="B397" s="12" t="s">
        <v>423</v>
      </c>
      <c r="L397" s="5" t="s">
        <v>26</v>
      </c>
      <c r="M397" s="7" t="b">
        <f t="shared" ca="1" si="30"/>
        <v>0</v>
      </c>
      <c r="N397" s="16" t="b">
        <f t="shared" ca="1" si="31"/>
        <v>0</v>
      </c>
    </row>
    <row r="398" spans="2:14" x14ac:dyDescent="0.35">
      <c r="B398" s="12" t="s">
        <v>424</v>
      </c>
      <c r="L398" s="5" t="s">
        <v>25</v>
      </c>
      <c r="M398" s="7" t="b">
        <f t="shared" ca="1" si="30"/>
        <v>0</v>
      </c>
      <c r="N398" s="16" t="b">
        <f t="shared" ca="1" si="31"/>
        <v>0</v>
      </c>
    </row>
    <row r="399" spans="2:14" x14ac:dyDescent="0.35">
      <c r="B399" s="12" t="s">
        <v>425</v>
      </c>
      <c r="L399" s="5" t="s">
        <v>26</v>
      </c>
      <c r="M399" s="7" t="b">
        <f t="shared" ca="1" si="30"/>
        <v>0</v>
      </c>
      <c r="N399" s="16" t="b">
        <f t="shared" ca="1" si="31"/>
        <v>0</v>
      </c>
    </row>
    <row r="400" spans="2:14" x14ac:dyDescent="0.35">
      <c r="B400" s="12" t="s">
        <v>426</v>
      </c>
      <c r="L400" s="5" t="s">
        <v>25</v>
      </c>
      <c r="M400" s="7" t="b">
        <f t="shared" ca="1" si="30"/>
        <v>0</v>
      </c>
      <c r="N400" s="16" t="b">
        <f t="shared" ca="1" si="31"/>
        <v>0</v>
      </c>
    </row>
    <row r="401" spans="2:14" x14ac:dyDescent="0.35">
      <c r="B401" s="12" t="s">
        <v>427</v>
      </c>
      <c r="L401" s="5" t="s">
        <v>26</v>
      </c>
      <c r="M401" s="7" t="b">
        <f t="shared" ca="1" si="30"/>
        <v>0</v>
      </c>
      <c r="N401" s="16" t="b">
        <f t="shared" ca="1" si="31"/>
        <v>0</v>
      </c>
    </row>
    <row r="402" spans="2:14" x14ac:dyDescent="0.35">
      <c r="B402" s="12" t="s">
        <v>428</v>
      </c>
      <c r="L402" s="5" t="s">
        <v>25</v>
      </c>
      <c r="M402" s="7" t="b">
        <f t="shared" ca="1" si="30"/>
        <v>0</v>
      </c>
      <c r="N402" s="16" t="b">
        <f t="shared" ca="1" si="31"/>
        <v>0</v>
      </c>
    </row>
    <row r="403" spans="2:14" x14ac:dyDescent="0.35">
      <c r="B403" s="12" t="s">
        <v>429</v>
      </c>
      <c r="L403" s="5" t="s">
        <v>26</v>
      </c>
      <c r="M403" s="7" t="b">
        <f t="shared" ca="1" si="30"/>
        <v>0</v>
      </c>
      <c r="N403" s="16" t="b">
        <f t="shared" ca="1" si="31"/>
        <v>0</v>
      </c>
    </row>
    <row r="404" spans="2:14" x14ac:dyDescent="0.35">
      <c r="B404" s="12" t="s">
        <v>430</v>
      </c>
      <c r="L404" s="5" t="s">
        <v>25</v>
      </c>
      <c r="M404" s="7" t="b">
        <f t="shared" ca="1" si="30"/>
        <v>0</v>
      </c>
      <c r="N404" s="16" t="b">
        <f t="shared" ca="1" si="31"/>
        <v>0</v>
      </c>
    </row>
    <row r="405" spans="2:14" x14ac:dyDescent="0.35">
      <c r="B405" s="12" t="s">
        <v>431</v>
      </c>
      <c r="L405" s="5" t="s">
        <v>26</v>
      </c>
      <c r="M405" s="7" t="b">
        <f t="shared" ca="1" si="30"/>
        <v>0</v>
      </c>
      <c r="N405" s="16" t="b">
        <f t="shared" ca="1" si="31"/>
        <v>0</v>
      </c>
    </row>
    <row r="406" spans="2:14" x14ac:dyDescent="0.35">
      <c r="B406" s="12" t="s">
        <v>432</v>
      </c>
      <c r="L406" s="5" t="s">
        <v>25</v>
      </c>
      <c r="M406" s="7" t="b">
        <f t="shared" ca="1" si="30"/>
        <v>0</v>
      </c>
      <c r="N406" s="16" t="b">
        <f t="shared" ca="1" si="31"/>
        <v>0</v>
      </c>
    </row>
    <row r="407" spans="2:14" x14ac:dyDescent="0.35">
      <c r="B407" s="12" t="s">
        <v>433</v>
      </c>
      <c r="L407" s="5" t="s">
        <v>26</v>
      </c>
      <c r="M407" s="7" t="b">
        <f t="shared" ca="1" si="30"/>
        <v>0</v>
      </c>
      <c r="N407" s="16" t="b">
        <f t="shared" ca="1" si="31"/>
        <v>0</v>
      </c>
    </row>
    <row r="408" spans="2:14" x14ac:dyDescent="0.35">
      <c r="B408" s="12" t="s">
        <v>434</v>
      </c>
      <c r="L408" s="5" t="s">
        <v>25</v>
      </c>
      <c r="M408" s="7" t="b">
        <f t="shared" ca="1" si="30"/>
        <v>0</v>
      </c>
      <c r="N408" s="16" t="b">
        <f t="shared" ca="1" si="31"/>
        <v>0</v>
      </c>
    </row>
    <row r="409" spans="2:14" x14ac:dyDescent="0.35">
      <c r="B409" s="12" t="s">
        <v>435</v>
      </c>
      <c r="L409" s="5" t="s">
        <v>26</v>
      </c>
      <c r="M409" s="7" t="b">
        <f t="shared" ca="1" si="30"/>
        <v>0</v>
      </c>
      <c r="N409" s="16" t="b">
        <f t="shared" ca="1" si="31"/>
        <v>0</v>
      </c>
    </row>
    <row r="410" spans="2:14" x14ac:dyDescent="0.35">
      <c r="B410" s="12" t="s">
        <v>436</v>
      </c>
      <c r="L410" s="5" t="s">
        <v>25</v>
      </c>
      <c r="M410" s="7" t="b">
        <f t="shared" ca="1" si="30"/>
        <v>0</v>
      </c>
      <c r="N410" s="16" t="b">
        <f t="shared" ca="1" si="31"/>
        <v>0</v>
      </c>
    </row>
    <row r="411" spans="2:14" x14ac:dyDescent="0.35">
      <c r="B411" s="12" t="s">
        <v>437</v>
      </c>
      <c r="L411" s="5" t="s">
        <v>26</v>
      </c>
      <c r="M411" s="7" t="b">
        <f t="shared" ca="1" si="30"/>
        <v>0</v>
      </c>
      <c r="N411" s="16" t="b">
        <f t="shared" ca="1" si="31"/>
        <v>0</v>
      </c>
    </row>
    <row r="412" spans="2:14" x14ac:dyDescent="0.35">
      <c r="B412" s="12" t="s">
        <v>438</v>
      </c>
      <c r="L412" s="5" t="s">
        <v>25</v>
      </c>
      <c r="M412" s="7" t="b">
        <f t="shared" ca="1" si="30"/>
        <v>0</v>
      </c>
      <c r="N412" s="16" t="b">
        <f t="shared" ca="1" si="31"/>
        <v>0</v>
      </c>
    </row>
    <row r="413" spans="2:14" x14ac:dyDescent="0.35">
      <c r="B413" s="12" t="s">
        <v>439</v>
      </c>
      <c r="L413" s="5" t="s">
        <v>26</v>
      </c>
      <c r="M413" s="7" t="b">
        <f t="shared" ca="1" si="30"/>
        <v>0</v>
      </c>
      <c r="N413" s="16" t="b">
        <f t="shared" ca="1" si="31"/>
        <v>0</v>
      </c>
    </row>
    <row r="414" spans="2:14" x14ac:dyDescent="0.35">
      <c r="B414" s="12" t="s">
        <v>440</v>
      </c>
      <c r="L414" s="5" t="s">
        <v>25</v>
      </c>
      <c r="M414" s="7" t="b">
        <f t="shared" ca="1" si="30"/>
        <v>0</v>
      </c>
      <c r="N414" s="16" t="b">
        <f t="shared" ca="1" si="31"/>
        <v>0</v>
      </c>
    </row>
    <row r="415" spans="2:14" x14ac:dyDescent="0.35">
      <c r="B415" s="12" t="s">
        <v>441</v>
      </c>
      <c r="L415" s="5" t="s">
        <v>26</v>
      </c>
      <c r="M415" s="7" t="b">
        <f t="shared" ca="1" si="30"/>
        <v>0</v>
      </c>
      <c r="N415" s="16" t="b">
        <f t="shared" ca="1" si="31"/>
        <v>0</v>
      </c>
    </row>
    <row r="416" spans="2:14" x14ac:dyDescent="0.35">
      <c r="B416" s="12" t="s">
        <v>442</v>
      </c>
      <c r="L416" s="5" t="s">
        <v>25</v>
      </c>
      <c r="M416" s="7" t="b">
        <f t="shared" ca="1" si="30"/>
        <v>0</v>
      </c>
      <c r="N416" s="16" t="b">
        <f t="shared" ca="1" si="31"/>
        <v>0</v>
      </c>
    </row>
    <row r="417" spans="2:14" x14ac:dyDescent="0.35">
      <c r="B417" s="12" t="s">
        <v>443</v>
      </c>
      <c r="L417" s="5" t="s">
        <v>26</v>
      </c>
      <c r="M417" s="7" t="b">
        <f t="shared" ca="1" si="30"/>
        <v>0</v>
      </c>
      <c r="N417" s="16" t="b">
        <f t="shared" ca="1" si="31"/>
        <v>0</v>
      </c>
    </row>
    <row r="418" spans="2:14" x14ac:dyDescent="0.35">
      <c r="B418" s="12" t="s">
        <v>444</v>
      </c>
      <c r="L418" s="5" t="s">
        <v>25</v>
      </c>
      <c r="M418" s="7" t="b">
        <f t="shared" ca="1" si="30"/>
        <v>0</v>
      </c>
      <c r="N418" s="16" t="b">
        <f t="shared" ca="1" si="31"/>
        <v>0</v>
      </c>
    </row>
    <row r="419" spans="2:14" x14ac:dyDescent="0.35">
      <c r="B419" s="12" t="s">
        <v>445</v>
      </c>
      <c r="L419" s="5" t="s">
        <v>26</v>
      </c>
      <c r="M419" s="7" t="b">
        <f t="shared" ca="1" si="30"/>
        <v>0</v>
      </c>
      <c r="N419" s="16" t="b">
        <f t="shared" ca="1" si="31"/>
        <v>0</v>
      </c>
    </row>
    <row r="420" spans="2:14" x14ac:dyDescent="0.35">
      <c r="B420" s="12" t="s">
        <v>446</v>
      </c>
      <c r="L420" s="5" t="s">
        <v>25</v>
      </c>
      <c r="M420" s="7" t="b">
        <f t="shared" ca="1" si="30"/>
        <v>0</v>
      </c>
      <c r="N420" s="16" t="b">
        <f t="shared" ca="1" si="31"/>
        <v>0</v>
      </c>
    </row>
    <row r="421" spans="2:14" x14ac:dyDescent="0.35">
      <c r="B421" s="12" t="s">
        <v>447</v>
      </c>
      <c r="L421" s="5" t="s">
        <v>26</v>
      </c>
      <c r="M421" s="7" t="b">
        <f t="shared" ca="1" si="30"/>
        <v>0</v>
      </c>
      <c r="N421" s="16" t="b">
        <f t="shared" ca="1" si="31"/>
        <v>0</v>
      </c>
    </row>
    <row r="422" spans="2:14" x14ac:dyDescent="0.35">
      <c r="B422" s="12" t="s">
        <v>448</v>
      </c>
      <c r="L422" s="5" t="s">
        <v>25</v>
      </c>
      <c r="M422" s="7" t="b">
        <f t="shared" ca="1" si="30"/>
        <v>0</v>
      </c>
      <c r="N422" s="16" t="b">
        <f t="shared" ca="1" si="31"/>
        <v>0</v>
      </c>
    </row>
    <row r="423" spans="2:14" x14ac:dyDescent="0.35">
      <c r="B423" s="12" t="s">
        <v>449</v>
      </c>
      <c r="L423" s="5" t="s">
        <v>26</v>
      </c>
      <c r="M423" s="7" t="b">
        <f t="shared" ca="1" si="30"/>
        <v>0</v>
      </c>
      <c r="N423" s="16" t="b">
        <f t="shared" ca="1" si="31"/>
        <v>0</v>
      </c>
    </row>
    <row r="424" spans="2:14" x14ac:dyDescent="0.35">
      <c r="B424" s="12" t="s">
        <v>450</v>
      </c>
      <c r="L424" s="5" t="s">
        <v>25</v>
      </c>
      <c r="M424" s="7" t="b">
        <f t="shared" ca="1" si="30"/>
        <v>0</v>
      </c>
      <c r="N424" s="16" t="b">
        <f t="shared" ca="1" si="31"/>
        <v>0</v>
      </c>
    </row>
    <row r="425" spans="2:14" x14ac:dyDescent="0.35">
      <c r="B425" s="12" t="s">
        <v>451</v>
      </c>
      <c r="L425" s="5" t="s">
        <v>26</v>
      </c>
      <c r="M425" s="7" t="b">
        <f t="shared" ca="1" si="30"/>
        <v>0</v>
      </c>
      <c r="N425" s="16" t="b">
        <f t="shared" ca="1" si="31"/>
        <v>0</v>
      </c>
    </row>
    <row r="426" spans="2:14" x14ac:dyDescent="0.35">
      <c r="B426" s="12" t="s">
        <v>452</v>
      </c>
      <c r="L426" s="5" t="s">
        <v>25</v>
      </c>
      <c r="M426" s="7" t="b">
        <f t="shared" ca="1" si="30"/>
        <v>0</v>
      </c>
      <c r="N426" s="16" t="b">
        <f t="shared" ca="1" si="31"/>
        <v>0</v>
      </c>
    </row>
    <row r="427" spans="2:14" x14ac:dyDescent="0.35">
      <c r="B427" s="12" t="s">
        <v>453</v>
      </c>
      <c r="L427" s="5" t="s">
        <v>26</v>
      </c>
      <c r="M427" s="7" t="b">
        <f t="shared" ca="1" si="30"/>
        <v>0</v>
      </c>
      <c r="N427" s="16" t="b">
        <f t="shared" ca="1" si="31"/>
        <v>0</v>
      </c>
    </row>
    <row r="428" spans="2:14" x14ac:dyDescent="0.35">
      <c r="B428" s="12" t="s">
        <v>454</v>
      </c>
      <c r="L428" s="5" t="s">
        <v>25</v>
      </c>
      <c r="M428" s="7" t="b">
        <f t="shared" ca="1" si="30"/>
        <v>0</v>
      </c>
      <c r="N428" s="16" t="b">
        <f t="shared" ca="1" si="31"/>
        <v>0</v>
      </c>
    </row>
    <row r="429" spans="2:14" x14ac:dyDescent="0.35">
      <c r="B429" s="12" t="s">
        <v>455</v>
      </c>
      <c r="L429" s="5" t="s">
        <v>26</v>
      </c>
      <c r="M429" s="7" t="b">
        <f t="shared" ca="1" si="30"/>
        <v>0</v>
      </c>
      <c r="N429" s="16" t="b">
        <f t="shared" ca="1" si="31"/>
        <v>0</v>
      </c>
    </row>
    <row r="430" spans="2:14" x14ac:dyDescent="0.35">
      <c r="B430" s="12" t="s">
        <v>456</v>
      </c>
      <c r="L430" s="5" t="s">
        <v>25</v>
      </c>
      <c r="M430" s="7" t="b">
        <f t="shared" ca="1" si="30"/>
        <v>0</v>
      </c>
      <c r="N430" s="16" t="b">
        <f t="shared" ca="1" si="31"/>
        <v>0</v>
      </c>
    </row>
    <row r="431" spans="2:14" x14ac:dyDescent="0.35">
      <c r="B431" s="12" t="s">
        <v>457</v>
      </c>
      <c r="L431" s="5" t="s">
        <v>26</v>
      </c>
      <c r="M431" s="7" t="b">
        <f t="shared" ca="1" si="30"/>
        <v>0</v>
      </c>
      <c r="N431" s="16" t="b">
        <f t="shared" ca="1" si="31"/>
        <v>0</v>
      </c>
    </row>
    <row r="432" spans="2:14" x14ac:dyDescent="0.35">
      <c r="B432" s="12" t="s">
        <v>458</v>
      </c>
      <c r="L432" s="5" t="s">
        <v>25</v>
      </c>
      <c r="M432" s="7" t="b">
        <f t="shared" ca="1" si="30"/>
        <v>0</v>
      </c>
      <c r="N432" s="16" t="b">
        <f t="shared" ca="1" si="31"/>
        <v>0</v>
      </c>
    </row>
    <row r="433" spans="2:14" x14ac:dyDescent="0.35">
      <c r="B433" s="12" t="s">
        <v>459</v>
      </c>
      <c r="L433" s="5" t="s">
        <v>26</v>
      </c>
      <c r="M433" s="7" t="b">
        <f t="shared" ca="1" si="30"/>
        <v>0</v>
      </c>
      <c r="N433" s="16" t="b">
        <f t="shared" ca="1" si="31"/>
        <v>0</v>
      </c>
    </row>
    <row r="434" spans="2:14" x14ac:dyDescent="0.35">
      <c r="B434" s="12" t="s">
        <v>460</v>
      </c>
      <c r="L434" s="5" t="s">
        <v>25</v>
      </c>
      <c r="M434" s="7" t="b">
        <f t="shared" ca="1" si="30"/>
        <v>0</v>
      </c>
      <c r="N434" s="16" t="b">
        <f t="shared" ca="1" si="31"/>
        <v>0</v>
      </c>
    </row>
    <row r="435" spans="2:14" x14ac:dyDescent="0.35">
      <c r="B435" s="12" t="s">
        <v>461</v>
      </c>
      <c r="L435" s="5" t="s">
        <v>26</v>
      </c>
      <c r="M435" s="7" t="b">
        <f t="shared" ca="1" si="30"/>
        <v>0</v>
      </c>
      <c r="N435" s="16" t="b">
        <f t="shared" ca="1" si="31"/>
        <v>0</v>
      </c>
    </row>
    <row r="436" spans="2:14" x14ac:dyDescent="0.35">
      <c r="B436" s="12" t="s">
        <v>462</v>
      </c>
      <c r="L436" s="5" t="s">
        <v>25</v>
      </c>
      <c r="M436" s="7" t="b">
        <f t="shared" ca="1" si="30"/>
        <v>0</v>
      </c>
      <c r="N436" s="16" t="b">
        <f t="shared" ca="1" si="31"/>
        <v>0</v>
      </c>
    </row>
    <row r="437" spans="2:14" x14ac:dyDescent="0.35">
      <c r="B437" s="12" t="s">
        <v>463</v>
      </c>
      <c r="L437" s="5" t="s">
        <v>26</v>
      </c>
      <c r="M437" s="7" t="b">
        <f t="shared" ca="1" si="30"/>
        <v>0</v>
      </c>
      <c r="N437" s="16" t="b">
        <f t="shared" ca="1" si="31"/>
        <v>0</v>
      </c>
    </row>
    <row r="438" spans="2:14" x14ac:dyDescent="0.35">
      <c r="B438" s="12" t="s">
        <v>464</v>
      </c>
      <c r="L438" s="5" t="s">
        <v>25</v>
      </c>
      <c r="M438" s="7" t="b">
        <f t="shared" ca="1" si="30"/>
        <v>0</v>
      </c>
      <c r="N438" s="16" t="b">
        <f t="shared" ca="1" si="31"/>
        <v>0</v>
      </c>
    </row>
    <row r="439" spans="2:14" x14ac:dyDescent="0.35">
      <c r="B439" s="12" t="s">
        <v>465</v>
      </c>
      <c r="L439" s="5" t="s">
        <v>26</v>
      </c>
      <c r="M439" s="7" t="b">
        <f t="shared" ca="1" si="30"/>
        <v>0</v>
      </c>
      <c r="N439" s="16" t="b">
        <f t="shared" ca="1" si="31"/>
        <v>0</v>
      </c>
    </row>
    <row r="440" spans="2:14" x14ac:dyDescent="0.35">
      <c r="B440" s="12" t="s">
        <v>466</v>
      </c>
      <c r="L440" s="5" t="s">
        <v>25</v>
      </c>
      <c r="M440" s="7" t="b">
        <f t="shared" ca="1" si="30"/>
        <v>0</v>
      </c>
      <c r="N440" s="16" t="b">
        <f t="shared" ca="1" si="31"/>
        <v>0</v>
      </c>
    </row>
    <row r="441" spans="2:14" x14ac:dyDescent="0.35">
      <c r="B441" s="12" t="s">
        <v>467</v>
      </c>
      <c r="L441" s="5" t="s">
        <v>26</v>
      </c>
      <c r="M441" s="7" t="b">
        <f t="shared" ca="1" si="30"/>
        <v>0</v>
      </c>
      <c r="N441" s="16" t="b">
        <f t="shared" ca="1" si="31"/>
        <v>0</v>
      </c>
    </row>
    <row r="442" spans="2:14" x14ac:dyDescent="0.35">
      <c r="B442" s="12" t="s">
        <v>468</v>
      </c>
      <c r="L442" s="5" t="s">
        <v>25</v>
      </c>
      <c r="M442" s="7" t="b">
        <f t="shared" ca="1" si="30"/>
        <v>0</v>
      </c>
      <c r="N442" s="16" t="b">
        <f t="shared" ca="1" si="31"/>
        <v>0</v>
      </c>
    </row>
    <row r="443" spans="2:14" x14ac:dyDescent="0.35">
      <c r="B443" s="12" t="s">
        <v>469</v>
      </c>
      <c r="L443" s="5" t="s">
        <v>26</v>
      </c>
      <c r="M443" s="7" t="b">
        <f t="shared" ca="1" si="30"/>
        <v>0</v>
      </c>
      <c r="N443" s="16" t="b">
        <f t="shared" ca="1" si="31"/>
        <v>0</v>
      </c>
    </row>
    <row r="444" spans="2:14" x14ac:dyDescent="0.35">
      <c r="B444" s="12" t="s">
        <v>470</v>
      </c>
      <c r="L444" s="5" t="s">
        <v>25</v>
      </c>
      <c r="M444" s="7" t="b">
        <f t="shared" ca="1" si="30"/>
        <v>0</v>
      </c>
      <c r="N444" s="16" t="b">
        <f t="shared" ca="1" si="31"/>
        <v>0</v>
      </c>
    </row>
    <row r="445" spans="2:14" x14ac:dyDescent="0.35">
      <c r="B445" s="12" t="s">
        <v>471</v>
      </c>
      <c r="L445" s="5" t="s">
        <v>26</v>
      </c>
      <c r="M445" s="7" t="b">
        <f t="shared" ca="1" si="30"/>
        <v>0</v>
      </c>
      <c r="N445" s="16" t="b">
        <f t="shared" ca="1" si="31"/>
        <v>0</v>
      </c>
    </row>
    <row r="446" spans="2:14" x14ac:dyDescent="0.35">
      <c r="B446" s="12" t="s">
        <v>472</v>
      </c>
      <c r="L446" s="5" t="s">
        <v>25</v>
      </c>
      <c r="M446" s="7" t="b">
        <f t="shared" ca="1" si="30"/>
        <v>0</v>
      </c>
      <c r="N446" s="16" t="b">
        <f t="shared" ca="1" si="31"/>
        <v>0</v>
      </c>
    </row>
    <row r="447" spans="2:14" x14ac:dyDescent="0.35">
      <c r="B447" s="12" t="s">
        <v>473</v>
      </c>
      <c r="L447" s="5" t="s">
        <v>26</v>
      </c>
      <c r="M447" s="7" t="b">
        <f t="shared" ca="1" si="30"/>
        <v>0</v>
      </c>
      <c r="N447" s="16" t="b">
        <f t="shared" ca="1" si="31"/>
        <v>0</v>
      </c>
    </row>
    <row r="448" spans="2:14" x14ac:dyDescent="0.35">
      <c r="B448" s="12" t="s">
        <v>474</v>
      </c>
      <c r="L448" s="5" t="s">
        <v>25</v>
      </c>
      <c r="M448" s="7" t="b">
        <f t="shared" ca="1" si="30"/>
        <v>0</v>
      </c>
      <c r="N448" s="16" t="b">
        <f t="shared" ca="1" si="31"/>
        <v>0</v>
      </c>
    </row>
    <row r="449" spans="2:14" x14ac:dyDescent="0.35">
      <c r="B449" s="12" t="s">
        <v>475</v>
      </c>
      <c r="L449" s="5" t="s">
        <v>26</v>
      </c>
      <c r="M449" s="7" t="b">
        <f t="shared" ca="1" si="30"/>
        <v>0</v>
      </c>
      <c r="N449" s="16" t="b">
        <f t="shared" ca="1" si="31"/>
        <v>0</v>
      </c>
    </row>
    <row r="450" spans="2:14" x14ac:dyDescent="0.35">
      <c r="B450" s="12" t="s">
        <v>476</v>
      </c>
      <c r="L450" s="5" t="s">
        <v>25</v>
      </c>
      <c r="M450" s="7" t="b">
        <f t="shared" ca="1" si="30"/>
        <v>0</v>
      </c>
      <c r="N450" s="16" t="b">
        <f t="shared" ca="1" si="31"/>
        <v>0</v>
      </c>
    </row>
    <row r="451" spans="2:14" x14ac:dyDescent="0.35">
      <c r="B451" s="12" t="s">
        <v>477</v>
      </c>
      <c r="L451" s="5" t="s">
        <v>26</v>
      </c>
      <c r="M451" s="7" t="b">
        <f t="shared" ref="M451:M514" ca="1" si="32">AND(A451&gt;=(TODAY()-28),A451&lt;TODAY())</f>
        <v>0</v>
      </c>
      <c r="N451" s="16" t="b">
        <f t="shared" ref="N451:N514" ca="1" si="33">AND(A451&gt;=(TODAY()-56),A451&lt;(TODAY()-28))</f>
        <v>0</v>
      </c>
    </row>
    <row r="452" spans="2:14" x14ac:dyDescent="0.35">
      <c r="B452" s="12" t="s">
        <v>478</v>
      </c>
      <c r="L452" s="5" t="s">
        <v>25</v>
      </c>
      <c r="M452" s="7" t="b">
        <f t="shared" ca="1" si="32"/>
        <v>0</v>
      </c>
      <c r="N452" s="16" t="b">
        <f t="shared" ca="1" si="33"/>
        <v>0</v>
      </c>
    </row>
    <row r="453" spans="2:14" x14ac:dyDescent="0.35">
      <c r="B453" s="12" t="s">
        <v>479</v>
      </c>
      <c r="L453" s="5" t="s">
        <v>26</v>
      </c>
      <c r="M453" s="7" t="b">
        <f t="shared" ca="1" si="32"/>
        <v>0</v>
      </c>
      <c r="N453" s="16" t="b">
        <f t="shared" ca="1" si="33"/>
        <v>0</v>
      </c>
    </row>
    <row r="454" spans="2:14" x14ac:dyDescent="0.35">
      <c r="B454" s="12" t="s">
        <v>480</v>
      </c>
      <c r="L454" s="5" t="s">
        <v>25</v>
      </c>
      <c r="M454" s="7" t="b">
        <f t="shared" ca="1" si="32"/>
        <v>0</v>
      </c>
      <c r="N454" s="16" t="b">
        <f t="shared" ca="1" si="33"/>
        <v>0</v>
      </c>
    </row>
    <row r="455" spans="2:14" x14ac:dyDescent="0.35">
      <c r="B455" s="12" t="s">
        <v>481</v>
      </c>
      <c r="L455" s="5" t="s">
        <v>26</v>
      </c>
      <c r="M455" s="7" t="b">
        <f t="shared" ca="1" si="32"/>
        <v>0</v>
      </c>
      <c r="N455" s="16" t="b">
        <f t="shared" ca="1" si="33"/>
        <v>0</v>
      </c>
    </row>
    <row r="456" spans="2:14" x14ac:dyDescent="0.35">
      <c r="B456" s="12" t="s">
        <v>482</v>
      </c>
      <c r="L456" s="5" t="s">
        <v>25</v>
      </c>
      <c r="M456" s="7" t="b">
        <f t="shared" ca="1" si="32"/>
        <v>0</v>
      </c>
      <c r="N456" s="16" t="b">
        <f t="shared" ca="1" si="33"/>
        <v>0</v>
      </c>
    </row>
    <row r="457" spans="2:14" x14ac:dyDescent="0.35">
      <c r="B457" s="12" t="s">
        <v>483</v>
      </c>
      <c r="L457" s="5" t="s">
        <v>26</v>
      </c>
      <c r="M457" s="7" t="b">
        <f t="shared" ca="1" si="32"/>
        <v>0</v>
      </c>
      <c r="N457" s="16" t="b">
        <f t="shared" ca="1" si="33"/>
        <v>0</v>
      </c>
    </row>
    <row r="458" spans="2:14" x14ac:dyDescent="0.35">
      <c r="B458" s="12" t="s">
        <v>484</v>
      </c>
      <c r="L458" s="5" t="s">
        <v>25</v>
      </c>
      <c r="M458" s="7" t="b">
        <f t="shared" ca="1" si="32"/>
        <v>0</v>
      </c>
      <c r="N458" s="16" t="b">
        <f t="shared" ca="1" si="33"/>
        <v>0</v>
      </c>
    </row>
    <row r="459" spans="2:14" x14ac:dyDescent="0.35">
      <c r="B459" s="12" t="s">
        <v>485</v>
      </c>
      <c r="L459" s="5" t="s">
        <v>26</v>
      </c>
      <c r="M459" s="7" t="b">
        <f t="shared" ca="1" si="32"/>
        <v>0</v>
      </c>
      <c r="N459" s="16" t="b">
        <f t="shared" ca="1" si="33"/>
        <v>0</v>
      </c>
    </row>
    <row r="460" spans="2:14" x14ac:dyDescent="0.35">
      <c r="B460" s="12" t="s">
        <v>486</v>
      </c>
      <c r="L460" s="5" t="s">
        <v>25</v>
      </c>
      <c r="M460" s="7" t="b">
        <f t="shared" ca="1" si="32"/>
        <v>0</v>
      </c>
      <c r="N460" s="16" t="b">
        <f t="shared" ca="1" si="33"/>
        <v>0</v>
      </c>
    </row>
    <row r="461" spans="2:14" x14ac:dyDescent="0.35">
      <c r="B461" s="12" t="s">
        <v>487</v>
      </c>
      <c r="L461" s="5" t="s">
        <v>26</v>
      </c>
      <c r="M461" s="7" t="b">
        <f t="shared" ca="1" si="32"/>
        <v>0</v>
      </c>
      <c r="N461" s="16" t="b">
        <f t="shared" ca="1" si="33"/>
        <v>0</v>
      </c>
    </row>
    <row r="462" spans="2:14" x14ac:dyDescent="0.35">
      <c r="B462" s="12" t="s">
        <v>488</v>
      </c>
      <c r="L462" s="5" t="s">
        <v>25</v>
      </c>
      <c r="M462" s="7" t="b">
        <f t="shared" ca="1" si="32"/>
        <v>0</v>
      </c>
      <c r="N462" s="16" t="b">
        <f t="shared" ca="1" si="33"/>
        <v>0</v>
      </c>
    </row>
    <row r="463" spans="2:14" x14ac:dyDescent="0.35">
      <c r="B463" s="12" t="s">
        <v>489</v>
      </c>
      <c r="L463" s="5" t="s">
        <v>26</v>
      </c>
      <c r="M463" s="7" t="b">
        <f t="shared" ca="1" si="32"/>
        <v>0</v>
      </c>
      <c r="N463" s="16" t="b">
        <f t="shared" ca="1" si="33"/>
        <v>0</v>
      </c>
    </row>
    <row r="464" spans="2:14" x14ac:dyDescent="0.35">
      <c r="B464" s="12" t="s">
        <v>490</v>
      </c>
      <c r="L464" s="5" t="s">
        <v>25</v>
      </c>
      <c r="M464" s="7" t="b">
        <f t="shared" ca="1" si="32"/>
        <v>0</v>
      </c>
      <c r="N464" s="16" t="b">
        <f t="shared" ca="1" si="33"/>
        <v>0</v>
      </c>
    </row>
    <row r="465" spans="2:14" x14ac:dyDescent="0.35">
      <c r="B465" s="12" t="s">
        <v>491</v>
      </c>
      <c r="L465" s="5" t="s">
        <v>26</v>
      </c>
      <c r="M465" s="7" t="b">
        <f t="shared" ca="1" si="32"/>
        <v>0</v>
      </c>
      <c r="N465" s="16" t="b">
        <f t="shared" ca="1" si="33"/>
        <v>0</v>
      </c>
    </row>
    <row r="466" spans="2:14" x14ac:dyDescent="0.35">
      <c r="B466" s="12" t="s">
        <v>492</v>
      </c>
      <c r="L466" s="5" t="s">
        <v>25</v>
      </c>
      <c r="M466" s="7" t="b">
        <f t="shared" ca="1" si="32"/>
        <v>0</v>
      </c>
      <c r="N466" s="16" t="b">
        <f t="shared" ca="1" si="33"/>
        <v>0</v>
      </c>
    </row>
    <row r="467" spans="2:14" x14ac:dyDescent="0.35">
      <c r="B467" s="12" t="s">
        <v>493</v>
      </c>
      <c r="L467" s="5" t="s">
        <v>26</v>
      </c>
      <c r="M467" s="7" t="b">
        <f t="shared" ca="1" si="32"/>
        <v>0</v>
      </c>
      <c r="N467" s="16" t="b">
        <f t="shared" ca="1" si="33"/>
        <v>0</v>
      </c>
    </row>
    <row r="468" spans="2:14" x14ac:dyDescent="0.35">
      <c r="B468" s="12" t="s">
        <v>494</v>
      </c>
      <c r="L468" s="5" t="s">
        <v>25</v>
      </c>
      <c r="M468" s="7" t="b">
        <f t="shared" ca="1" si="32"/>
        <v>0</v>
      </c>
      <c r="N468" s="16" t="b">
        <f t="shared" ca="1" si="33"/>
        <v>0</v>
      </c>
    </row>
    <row r="469" spans="2:14" x14ac:dyDescent="0.35">
      <c r="B469" s="12" t="s">
        <v>495</v>
      </c>
      <c r="L469" s="5" t="s">
        <v>26</v>
      </c>
      <c r="M469" s="7" t="b">
        <f t="shared" ca="1" si="32"/>
        <v>0</v>
      </c>
      <c r="N469" s="16" t="b">
        <f t="shared" ca="1" si="33"/>
        <v>0</v>
      </c>
    </row>
    <row r="470" spans="2:14" x14ac:dyDescent="0.35">
      <c r="B470" s="12" t="s">
        <v>496</v>
      </c>
      <c r="L470" s="5" t="s">
        <v>25</v>
      </c>
      <c r="M470" s="7" t="b">
        <f t="shared" ca="1" si="32"/>
        <v>0</v>
      </c>
      <c r="N470" s="16" t="b">
        <f t="shared" ca="1" si="33"/>
        <v>0</v>
      </c>
    </row>
    <row r="471" spans="2:14" x14ac:dyDescent="0.35">
      <c r="B471" s="12" t="s">
        <v>497</v>
      </c>
      <c r="L471" s="5" t="s">
        <v>26</v>
      </c>
      <c r="M471" s="7" t="b">
        <f t="shared" ca="1" si="32"/>
        <v>0</v>
      </c>
      <c r="N471" s="16" t="b">
        <f t="shared" ca="1" si="33"/>
        <v>0</v>
      </c>
    </row>
    <row r="472" spans="2:14" x14ac:dyDescent="0.35">
      <c r="B472" s="12" t="s">
        <v>498</v>
      </c>
      <c r="L472" s="5" t="s">
        <v>25</v>
      </c>
      <c r="M472" s="7" t="b">
        <f t="shared" ca="1" si="32"/>
        <v>0</v>
      </c>
      <c r="N472" s="16" t="b">
        <f t="shared" ca="1" si="33"/>
        <v>0</v>
      </c>
    </row>
    <row r="473" spans="2:14" x14ac:dyDescent="0.35">
      <c r="B473" s="12" t="s">
        <v>499</v>
      </c>
      <c r="L473" s="5" t="s">
        <v>26</v>
      </c>
      <c r="M473" s="7" t="b">
        <f t="shared" ca="1" si="32"/>
        <v>0</v>
      </c>
      <c r="N473" s="16" t="b">
        <f t="shared" ca="1" si="33"/>
        <v>0</v>
      </c>
    </row>
    <row r="474" spans="2:14" x14ac:dyDescent="0.35">
      <c r="B474" s="12" t="s">
        <v>500</v>
      </c>
      <c r="L474" s="5" t="s">
        <v>25</v>
      </c>
      <c r="M474" s="7" t="b">
        <f t="shared" ca="1" si="32"/>
        <v>0</v>
      </c>
      <c r="N474" s="16" t="b">
        <f t="shared" ca="1" si="33"/>
        <v>0</v>
      </c>
    </row>
    <row r="475" spans="2:14" x14ac:dyDescent="0.35">
      <c r="B475" s="12" t="s">
        <v>501</v>
      </c>
      <c r="L475" s="5" t="s">
        <v>26</v>
      </c>
      <c r="M475" s="7" t="b">
        <f t="shared" ca="1" si="32"/>
        <v>0</v>
      </c>
      <c r="N475" s="16" t="b">
        <f t="shared" ca="1" si="33"/>
        <v>0</v>
      </c>
    </row>
    <row r="476" spans="2:14" x14ac:dyDescent="0.35">
      <c r="B476" s="12" t="s">
        <v>502</v>
      </c>
      <c r="L476" s="5" t="s">
        <v>25</v>
      </c>
      <c r="M476" s="7" t="b">
        <f t="shared" ca="1" si="32"/>
        <v>0</v>
      </c>
      <c r="N476" s="16" t="b">
        <f t="shared" ca="1" si="33"/>
        <v>0</v>
      </c>
    </row>
    <row r="477" spans="2:14" x14ac:dyDescent="0.35">
      <c r="B477" s="12" t="s">
        <v>503</v>
      </c>
      <c r="L477" s="5" t="s">
        <v>26</v>
      </c>
      <c r="M477" s="7" t="b">
        <f t="shared" ca="1" si="32"/>
        <v>0</v>
      </c>
      <c r="N477" s="16" t="b">
        <f t="shared" ca="1" si="33"/>
        <v>0</v>
      </c>
    </row>
    <row r="478" spans="2:14" x14ac:dyDescent="0.35">
      <c r="B478" s="12" t="s">
        <v>504</v>
      </c>
      <c r="L478" s="5" t="s">
        <v>25</v>
      </c>
      <c r="M478" s="7" t="b">
        <f t="shared" ca="1" si="32"/>
        <v>0</v>
      </c>
      <c r="N478" s="16" t="b">
        <f t="shared" ca="1" si="33"/>
        <v>0</v>
      </c>
    </row>
    <row r="479" spans="2:14" x14ac:dyDescent="0.35">
      <c r="B479" s="12" t="s">
        <v>505</v>
      </c>
      <c r="L479" s="5" t="s">
        <v>26</v>
      </c>
      <c r="M479" s="7" t="b">
        <f t="shared" ca="1" si="32"/>
        <v>0</v>
      </c>
      <c r="N479" s="16" t="b">
        <f t="shared" ca="1" si="33"/>
        <v>0</v>
      </c>
    </row>
    <row r="480" spans="2:14" x14ac:dyDescent="0.35">
      <c r="B480" s="12" t="s">
        <v>506</v>
      </c>
      <c r="L480" s="5" t="s">
        <v>25</v>
      </c>
      <c r="M480" s="7" t="b">
        <f t="shared" ca="1" si="32"/>
        <v>0</v>
      </c>
      <c r="N480" s="16" t="b">
        <f t="shared" ca="1" si="33"/>
        <v>0</v>
      </c>
    </row>
    <row r="481" spans="2:14" x14ac:dyDescent="0.35">
      <c r="B481" s="12" t="s">
        <v>507</v>
      </c>
      <c r="L481" s="5" t="s">
        <v>26</v>
      </c>
      <c r="M481" s="7" t="b">
        <f t="shared" ca="1" si="32"/>
        <v>0</v>
      </c>
      <c r="N481" s="16" t="b">
        <f t="shared" ca="1" si="33"/>
        <v>0</v>
      </c>
    </row>
    <row r="482" spans="2:14" x14ac:dyDescent="0.35">
      <c r="B482" s="12" t="s">
        <v>508</v>
      </c>
      <c r="L482" s="5" t="s">
        <v>25</v>
      </c>
      <c r="M482" s="7" t="b">
        <f t="shared" ca="1" si="32"/>
        <v>0</v>
      </c>
      <c r="N482" s="16" t="b">
        <f t="shared" ca="1" si="33"/>
        <v>0</v>
      </c>
    </row>
    <row r="483" spans="2:14" x14ac:dyDescent="0.35">
      <c r="B483" s="12" t="s">
        <v>509</v>
      </c>
      <c r="L483" s="5" t="s">
        <v>26</v>
      </c>
      <c r="M483" s="7" t="b">
        <f t="shared" ca="1" si="32"/>
        <v>0</v>
      </c>
      <c r="N483" s="16" t="b">
        <f t="shared" ca="1" si="33"/>
        <v>0</v>
      </c>
    </row>
    <row r="484" spans="2:14" x14ac:dyDescent="0.35">
      <c r="B484" s="12" t="s">
        <v>510</v>
      </c>
      <c r="L484" s="5" t="s">
        <v>25</v>
      </c>
      <c r="M484" s="7" t="b">
        <f t="shared" ca="1" si="32"/>
        <v>0</v>
      </c>
      <c r="N484" s="16" t="b">
        <f t="shared" ca="1" si="33"/>
        <v>0</v>
      </c>
    </row>
    <row r="485" spans="2:14" x14ac:dyDescent="0.35">
      <c r="B485" s="12" t="s">
        <v>511</v>
      </c>
      <c r="L485" s="5" t="s">
        <v>26</v>
      </c>
      <c r="M485" s="7" t="b">
        <f t="shared" ca="1" si="32"/>
        <v>0</v>
      </c>
      <c r="N485" s="16" t="b">
        <f t="shared" ca="1" si="33"/>
        <v>0</v>
      </c>
    </row>
    <row r="486" spans="2:14" x14ac:dyDescent="0.35">
      <c r="B486" s="12" t="s">
        <v>512</v>
      </c>
      <c r="L486" s="5" t="s">
        <v>25</v>
      </c>
      <c r="M486" s="7" t="b">
        <f t="shared" ca="1" si="32"/>
        <v>0</v>
      </c>
      <c r="N486" s="16" t="b">
        <f t="shared" ca="1" si="33"/>
        <v>0</v>
      </c>
    </row>
    <row r="487" spans="2:14" x14ac:dyDescent="0.35">
      <c r="B487" s="12" t="s">
        <v>513</v>
      </c>
      <c r="L487" s="5" t="s">
        <v>26</v>
      </c>
      <c r="M487" s="7" t="b">
        <f t="shared" ca="1" si="32"/>
        <v>0</v>
      </c>
      <c r="N487" s="16" t="b">
        <f t="shared" ca="1" si="33"/>
        <v>0</v>
      </c>
    </row>
    <row r="488" spans="2:14" x14ac:dyDescent="0.35">
      <c r="B488" s="12" t="s">
        <v>514</v>
      </c>
      <c r="L488" s="5" t="s">
        <v>25</v>
      </c>
      <c r="M488" s="7" t="b">
        <f t="shared" ca="1" si="32"/>
        <v>0</v>
      </c>
      <c r="N488" s="16" t="b">
        <f t="shared" ca="1" si="33"/>
        <v>0</v>
      </c>
    </row>
    <row r="489" spans="2:14" x14ac:dyDescent="0.35">
      <c r="B489" s="12" t="s">
        <v>515</v>
      </c>
      <c r="L489" s="5" t="s">
        <v>26</v>
      </c>
      <c r="M489" s="7" t="b">
        <f t="shared" ca="1" si="32"/>
        <v>0</v>
      </c>
      <c r="N489" s="16" t="b">
        <f t="shared" ca="1" si="33"/>
        <v>0</v>
      </c>
    </row>
    <row r="490" spans="2:14" x14ac:dyDescent="0.35">
      <c r="B490" s="12" t="s">
        <v>516</v>
      </c>
      <c r="L490" s="5" t="s">
        <v>25</v>
      </c>
      <c r="M490" s="7" t="b">
        <f t="shared" ca="1" si="32"/>
        <v>0</v>
      </c>
      <c r="N490" s="16" t="b">
        <f t="shared" ca="1" si="33"/>
        <v>0</v>
      </c>
    </row>
    <row r="491" spans="2:14" x14ac:dyDescent="0.35">
      <c r="B491" s="12" t="s">
        <v>517</v>
      </c>
      <c r="L491" s="5" t="s">
        <v>26</v>
      </c>
      <c r="M491" s="7" t="b">
        <f t="shared" ca="1" si="32"/>
        <v>0</v>
      </c>
      <c r="N491" s="16" t="b">
        <f t="shared" ca="1" si="33"/>
        <v>0</v>
      </c>
    </row>
    <row r="492" spans="2:14" x14ac:dyDescent="0.35">
      <c r="B492" s="12" t="s">
        <v>518</v>
      </c>
      <c r="L492" s="5" t="s">
        <v>25</v>
      </c>
      <c r="M492" s="7" t="b">
        <f t="shared" ca="1" si="32"/>
        <v>0</v>
      </c>
      <c r="N492" s="16" t="b">
        <f t="shared" ca="1" si="33"/>
        <v>0</v>
      </c>
    </row>
    <row r="493" spans="2:14" x14ac:dyDescent="0.35">
      <c r="B493" s="12" t="s">
        <v>519</v>
      </c>
      <c r="L493" s="5" t="s">
        <v>26</v>
      </c>
      <c r="M493" s="7" t="b">
        <f t="shared" ca="1" si="32"/>
        <v>0</v>
      </c>
      <c r="N493" s="16" t="b">
        <f t="shared" ca="1" si="33"/>
        <v>0</v>
      </c>
    </row>
    <row r="494" spans="2:14" x14ac:dyDescent="0.35">
      <c r="B494" s="12" t="s">
        <v>520</v>
      </c>
      <c r="L494" s="5" t="s">
        <v>25</v>
      </c>
      <c r="M494" s="7" t="b">
        <f t="shared" ca="1" si="32"/>
        <v>0</v>
      </c>
      <c r="N494" s="16" t="b">
        <f t="shared" ca="1" si="33"/>
        <v>0</v>
      </c>
    </row>
    <row r="495" spans="2:14" x14ac:dyDescent="0.35">
      <c r="B495" s="12" t="s">
        <v>521</v>
      </c>
      <c r="L495" s="5" t="s">
        <v>26</v>
      </c>
      <c r="M495" s="7" t="b">
        <f t="shared" ca="1" si="32"/>
        <v>0</v>
      </c>
      <c r="N495" s="16" t="b">
        <f t="shared" ca="1" si="33"/>
        <v>0</v>
      </c>
    </row>
    <row r="496" spans="2:14" x14ac:dyDescent="0.35">
      <c r="B496" s="12" t="s">
        <v>522</v>
      </c>
      <c r="L496" s="5" t="s">
        <v>25</v>
      </c>
      <c r="M496" s="7" t="b">
        <f t="shared" ca="1" si="32"/>
        <v>0</v>
      </c>
      <c r="N496" s="16" t="b">
        <f t="shared" ca="1" si="33"/>
        <v>0</v>
      </c>
    </row>
    <row r="497" spans="2:14" x14ac:dyDescent="0.35">
      <c r="B497" s="12" t="s">
        <v>523</v>
      </c>
      <c r="L497" s="5" t="s">
        <v>26</v>
      </c>
      <c r="M497" s="7" t="b">
        <f t="shared" ca="1" si="32"/>
        <v>0</v>
      </c>
      <c r="N497" s="16" t="b">
        <f t="shared" ca="1" si="33"/>
        <v>0</v>
      </c>
    </row>
    <row r="498" spans="2:14" x14ac:dyDescent="0.35">
      <c r="B498" s="12" t="s">
        <v>524</v>
      </c>
      <c r="L498" s="5" t="s">
        <v>25</v>
      </c>
      <c r="M498" s="7" t="b">
        <f t="shared" ca="1" si="32"/>
        <v>0</v>
      </c>
      <c r="N498" s="16" t="b">
        <f t="shared" ca="1" si="33"/>
        <v>0</v>
      </c>
    </row>
    <row r="499" spans="2:14" x14ac:dyDescent="0.35">
      <c r="B499" s="12" t="s">
        <v>525</v>
      </c>
      <c r="L499" s="5" t="s">
        <v>26</v>
      </c>
      <c r="M499" s="7" t="b">
        <f t="shared" ca="1" si="32"/>
        <v>0</v>
      </c>
      <c r="N499" s="16" t="b">
        <f t="shared" ca="1" si="33"/>
        <v>0</v>
      </c>
    </row>
    <row r="500" spans="2:14" x14ac:dyDescent="0.35">
      <c r="B500" s="12" t="s">
        <v>526</v>
      </c>
      <c r="L500" s="5" t="s">
        <v>25</v>
      </c>
      <c r="M500" s="7" t="b">
        <f t="shared" ca="1" si="32"/>
        <v>0</v>
      </c>
      <c r="N500" s="16" t="b">
        <f t="shared" ca="1" si="33"/>
        <v>0</v>
      </c>
    </row>
    <row r="501" spans="2:14" x14ac:dyDescent="0.35">
      <c r="B501" s="12" t="s">
        <v>527</v>
      </c>
      <c r="L501" s="5" t="s">
        <v>26</v>
      </c>
      <c r="M501" s="7" t="b">
        <f t="shared" ca="1" si="32"/>
        <v>0</v>
      </c>
      <c r="N501" s="16" t="b">
        <f t="shared" ca="1" si="33"/>
        <v>0</v>
      </c>
    </row>
    <row r="502" spans="2:14" x14ac:dyDescent="0.35">
      <c r="B502" s="12" t="s">
        <v>528</v>
      </c>
      <c r="L502" s="5" t="s">
        <v>25</v>
      </c>
      <c r="M502" s="7" t="b">
        <f t="shared" ca="1" si="32"/>
        <v>0</v>
      </c>
      <c r="N502" s="16" t="b">
        <f t="shared" ca="1" si="33"/>
        <v>0</v>
      </c>
    </row>
    <row r="503" spans="2:14" x14ac:dyDescent="0.35">
      <c r="B503" s="12" t="s">
        <v>529</v>
      </c>
      <c r="L503" s="5" t="s">
        <v>26</v>
      </c>
      <c r="M503" s="7" t="b">
        <f t="shared" ca="1" si="32"/>
        <v>0</v>
      </c>
      <c r="N503" s="16" t="b">
        <f t="shared" ca="1" si="33"/>
        <v>0</v>
      </c>
    </row>
    <row r="504" spans="2:14" x14ac:dyDescent="0.35">
      <c r="B504" s="12" t="s">
        <v>530</v>
      </c>
      <c r="L504" s="5" t="s">
        <v>25</v>
      </c>
      <c r="M504" s="7" t="b">
        <f t="shared" ca="1" si="32"/>
        <v>0</v>
      </c>
      <c r="N504" s="16" t="b">
        <f t="shared" ca="1" si="33"/>
        <v>0</v>
      </c>
    </row>
    <row r="505" spans="2:14" x14ac:dyDescent="0.35">
      <c r="B505" s="12" t="s">
        <v>531</v>
      </c>
      <c r="L505" s="5" t="s">
        <v>26</v>
      </c>
      <c r="M505" s="7" t="b">
        <f t="shared" ca="1" si="32"/>
        <v>0</v>
      </c>
      <c r="N505" s="16" t="b">
        <f t="shared" ca="1" si="33"/>
        <v>0</v>
      </c>
    </row>
    <row r="506" spans="2:14" x14ac:dyDescent="0.35">
      <c r="B506" s="12" t="s">
        <v>532</v>
      </c>
      <c r="L506" s="5" t="s">
        <v>25</v>
      </c>
      <c r="M506" s="7" t="b">
        <f t="shared" ca="1" si="32"/>
        <v>0</v>
      </c>
      <c r="N506" s="16" t="b">
        <f t="shared" ca="1" si="33"/>
        <v>0</v>
      </c>
    </row>
    <row r="507" spans="2:14" x14ac:dyDescent="0.35">
      <c r="B507" s="12" t="s">
        <v>533</v>
      </c>
      <c r="L507" s="5" t="s">
        <v>26</v>
      </c>
      <c r="M507" s="7" t="b">
        <f t="shared" ca="1" si="32"/>
        <v>0</v>
      </c>
      <c r="N507" s="16" t="b">
        <f t="shared" ca="1" si="33"/>
        <v>0</v>
      </c>
    </row>
    <row r="508" spans="2:14" x14ac:dyDescent="0.35">
      <c r="B508" s="12" t="s">
        <v>534</v>
      </c>
      <c r="L508" s="5" t="s">
        <v>25</v>
      </c>
      <c r="M508" s="7" t="b">
        <f t="shared" ca="1" si="32"/>
        <v>0</v>
      </c>
      <c r="N508" s="16" t="b">
        <f t="shared" ca="1" si="33"/>
        <v>0</v>
      </c>
    </row>
    <row r="509" spans="2:14" x14ac:dyDescent="0.35">
      <c r="B509" s="12" t="s">
        <v>535</v>
      </c>
      <c r="L509" s="5" t="s">
        <v>26</v>
      </c>
      <c r="M509" s="7" t="b">
        <f t="shared" ca="1" si="32"/>
        <v>0</v>
      </c>
      <c r="N509" s="16" t="b">
        <f t="shared" ca="1" si="33"/>
        <v>0</v>
      </c>
    </row>
    <row r="510" spans="2:14" x14ac:dyDescent="0.35">
      <c r="B510" s="12" t="s">
        <v>536</v>
      </c>
      <c r="L510" s="5" t="s">
        <v>25</v>
      </c>
      <c r="M510" s="7" t="b">
        <f t="shared" ca="1" si="32"/>
        <v>0</v>
      </c>
      <c r="N510" s="16" t="b">
        <f t="shared" ca="1" si="33"/>
        <v>0</v>
      </c>
    </row>
    <row r="511" spans="2:14" x14ac:dyDescent="0.35">
      <c r="B511" s="12" t="s">
        <v>537</v>
      </c>
      <c r="L511" s="5" t="s">
        <v>26</v>
      </c>
      <c r="M511" s="7" t="b">
        <f t="shared" ca="1" si="32"/>
        <v>0</v>
      </c>
      <c r="N511" s="16" t="b">
        <f t="shared" ca="1" si="33"/>
        <v>0</v>
      </c>
    </row>
    <row r="512" spans="2:14" x14ac:dyDescent="0.35">
      <c r="B512" s="12" t="s">
        <v>538</v>
      </c>
      <c r="L512" s="5" t="s">
        <v>25</v>
      </c>
      <c r="M512" s="7" t="b">
        <f t="shared" ca="1" si="32"/>
        <v>0</v>
      </c>
      <c r="N512" s="16" t="b">
        <f t="shared" ca="1" si="33"/>
        <v>0</v>
      </c>
    </row>
    <row r="513" spans="2:14" x14ac:dyDescent="0.35">
      <c r="B513" s="12" t="s">
        <v>539</v>
      </c>
      <c r="L513" s="5" t="s">
        <v>26</v>
      </c>
      <c r="M513" s="7" t="b">
        <f t="shared" ca="1" si="32"/>
        <v>0</v>
      </c>
      <c r="N513" s="16" t="b">
        <f t="shared" ca="1" si="33"/>
        <v>0</v>
      </c>
    </row>
    <row r="514" spans="2:14" x14ac:dyDescent="0.35">
      <c r="B514" s="12" t="s">
        <v>540</v>
      </c>
      <c r="L514" s="5" t="s">
        <v>25</v>
      </c>
      <c r="M514" s="7" t="b">
        <f t="shared" ca="1" si="32"/>
        <v>0</v>
      </c>
      <c r="N514" s="16" t="b">
        <f t="shared" ca="1" si="33"/>
        <v>0</v>
      </c>
    </row>
    <row r="515" spans="2:14" x14ac:dyDescent="0.35">
      <c r="B515" s="12" t="s">
        <v>541</v>
      </c>
      <c r="L515" s="5" t="s">
        <v>26</v>
      </c>
      <c r="M515" s="7" t="b">
        <f t="shared" ref="M515:M578" ca="1" si="34">AND(A515&gt;=(TODAY()-28),A515&lt;TODAY())</f>
        <v>0</v>
      </c>
      <c r="N515" s="16" t="b">
        <f t="shared" ref="N515:N578" ca="1" si="35">AND(A515&gt;=(TODAY()-56),A515&lt;(TODAY()-28))</f>
        <v>0</v>
      </c>
    </row>
    <row r="516" spans="2:14" x14ac:dyDescent="0.35">
      <c r="B516" s="12" t="s">
        <v>542</v>
      </c>
      <c r="L516" s="5" t="s">
        <v>25</v>
      </c>
      <c r="M516" s="7" t="b">
        <f t="shared" ca="1" si="34"/>
        <v>0</v>
      </c>
      <c r="N516" s="16" t="b">
        <f t="shared" ca="1" si="35"/>
        <v>0</v>
      </c>
    </row>
    <row r="517" spans="2:14" x14ac:dyDescent="0.35">
      <c r="B517" s="12" t="s">
        <v>543</v>
      </c>
      <c r="L517" s="5" t="s">
        <v>26</v>
      </c>
      <c r="M517" s="7" t="b">
        <f t="shared" ca="1" si="34"/>
        <v>0</v>
      </c>
      <c r="N517" s="16" t="b">
        <f t="shared" ca="1" si="35"/>
        <v>0</v>
      </c>
    </row>
    <row r="518" spans="2:14" x14ac:dyDescent="0.35">
      <c r="B518" s="12" t="s">
        <v>544</v>
      </c>
      <c r="L518" s="5" t="s">
        <v>25</v>
      </c>
      <c r="M518" s="7" t="b">
        <f t="shared" ca="1" si="34"/>
        <v>0</v>
      </c>
      <c r="N518" s="16" t="b">
        <f t="shared" ca="1" si="35"/>
        <v>0</v>
      </c>
    </row>
    <row r="519" spans="2:14" x14ac:dyDescent="0.35">
      <c r="B519" s="12" t="s">
        <v>545</v>
      </c>
      <c r="L519" s="5" t="s">
        <v>26</v>
      </c>
      <c r="M519" s="7" t="b">
        <f t="shared" ca="1" si="34"/>
        <v>0</v>
      </c>
      <c r="N519" s="16" t="b">
        <f t="shared" ca="1" si="35"/>
        <v>0</v>
      </c>
    </row>
    <row r="520" spans="2:14" x14ac:dyDescent="0.35">
      <c r="B520" s="12" t="s">
        <v>546</v>
      </c>
      <c r="L520" s="5" t="s">
        <v>25</v>
      </c>
      <c r="M520" s="7" t="b">
        <f t="shared" ca="1" si="34"/>
        <v>0</v>
      </c>
      <c r="N520" s="16" t="b">
        <f t="shared" ca="1" si="35"/>
        <v>0</v>
      </c>
    </row>
    <row r="521" spans="2:14" x14ac:dyDescent="0.35">
      <c r="B521" s="12" t="s">
        <v>547</v>
      </c>
      <c r="L521" s="5" t="s">
        <v>26</v>
      </c>
      <c r="M521" s="7" t="b">
        <f t="shared" ca="1" si="34"/>
        <v>0</v>
      </c>
      <c r="N521" s="16" t="b">
        <f t="shared" ca="1" si="35"/>
        <v>0</v>
      </c>
    </row>
    <row r="522" spans="2:14" x14ac:dyDescent="0.35">
      <c r="B522" s="12" t="s">
        <v>548</v>
      </c>
      <c r="L522" s="5" t="s">
        <v>25</v>
      </c>
      <c r="M522" s="7" t="b">
        <f t="shared" ca="1" si="34"/>
        <v>0</v>
      </c>
      <c r="N522" s="16" t="b">
        <f t="shared" ca="1" si="35"/>
        <v>0</v>
      </c>
    </row>
    <row r="523" spans="2:14" x14ac:dyDescent="0.35">
      <c r="B523" s="12" t="s">
        <v>549</v>
      </c>
      <c r="L523" s="5" t="s">
        <v>26</v>
      </c>
      <c r="M523" s="7" t="b">
        <f t="shared" ca="1" si="34"/>
        <v>0</v>
      </c>
      <c r="N523" s="16" t="b">
        <f t="shared" ca="1" si="35"/>
        <v>0</v>
      </c>
    </row>
    <row r="524" spans="2:14" x14ac:dyDescent="0.35">
      <c r="B524" s="12" t="s">
        <v>550</v>
      </c>
      <c r="L524" s="5" t="s">
        <v>25</v>
      </c>
      <c r="M524" s="7" t="b">
        <f t="shared" ca="1" si="34"/>
        <v>0</v>
      </c>
      <c r="N524" s="16" t="b">
        <f t="shared" ca="1" si="35"/>
        <v>0</v>
      </c>
    </row>
    <row r="525" spans="2:14" x14ac:dyDescent="0.35">
      <c r="B525" s="12" t="s">
        <v>551</v>
      </c>
      <c r="L525" s="5" t="s">
        <v>26</v>
      </c>
      <c r="M525" s="7" t="b">
        <f t="shared" ca="1" si="34"/>
        <v>0</v>
      </c>
      <c r="N525" s="16" t="b">
        <f t="shared" ca="1" si="35"/>
        <v>0</v>
      </c>
    </row>
    <row r="526" spans="2:14" x14ac:dyDescent="0.35">
      <c r="B526" s="12" t="s">
        <v>552</v>
      </c>
      <c r="L526" s="5" t="s">
        <v>25</v>
      </c>
      <c r="M526" s="7" t="b">
        <f t="shared" ca="1" si="34"/>
        <v>0</v>
      </c>
      <c r="N526" s="16" t="b">
        <f t="shared" ca="1" si="35"/>
        <v>0</v>
      </c>
    </row>
    <row r="527" spans="2:14" x14ac:dyDescent="0.35">
      <c r="B527" s="12" t="s">
        <v>553</v>
      </c>
      <c r="L527" s="5" t="s">
        <v>26</v>
      </c>
      <c r="M527" s="7" t="b">
        <f t="shared" ca="1" si="34"/>
        <v>0</v>
      </c>
      <c r="N527" s="16" t="b">
        <f t="shared" ca="1" si="35"/>
        <v>0</v>
      </c>
    </row>
    <row r="528" spans="2:14" x14ac:dyDescent="0.35">
      <c r="B528" s="12" t="s">
        <v>554</v>
      </c>
      <c r="L528" s="5" t="s">
        <v>25</v>
      </c>
      <c r="M528" s="7" t="b">
        <f t="shared" ca="1" si="34"/>
        <v>0</v>
      </c>
      <c r="N528" s="16" t="b">
        <f t="shared" ca="1" si="35"/>
        <v>0</v>
      </c>
    </row>
    <row r="529" spans="2:14" x14ac:dyDescent="0.35">
      <c r="B529" s="12" t="s">
        <v>555</v>
      </c>
      <c r="L529" s="5" t="s">
        <v>26</v>
      </c>
      <c r="M529" s="7" t="b">
        <f t="shared" ca="1" si="34"/>
        <v>0</v>
      </c>
      <c r="N529" s="16" t="b">
        <f t="shared" ca="1" si="35"/>
        <v>0</v>
      </c>
    </row>
    <row r="530" spans="2:14" x14ac:dyDescent="0.35">
      <c r="B530" s="12" t="s">
        <v>556</v>
      </c>
      <c r="L530" s="5" t="s">
        <v>25</v>
      </c>
      <c r="M530" s="7" t="b">
        <f t="shared" ca="1" si="34"/>
        <v>0</v>
      </c>
      <c r="N530" s="16" t="b">
        <f t="shared" ca="1" si="35"/>
        <v>0</v>
      </c>
    </row>
    <row r="531" spans="2:14" x14ac:dyDescent="0.35">
      <c r="B531" s="12" t="s">
        <v>557</v>
      </c>
      <c r="L531" s="5" t="s">
        <v>26</v>
      </c>
      <c r="M531" s="7" t="b">
        <f t="shared" ca="1" si="34"/>
        <v>0</v>
      </c>
      <c r="N531" s="16" t="b">
        <f t="shared" ca="1" si="35"/>
        <v>0</v>
      </c>
    </row>
    <row r="532" spans="2:14" x14ac:dyDescent="0.35">
      <c r="B532" s="12" t="s">
        <v>558</v>
      </c>
      <c r="L532" s="5" t="s">
        <v>25</v>
      </c>
      <c r="M532" s="7" t="b">
        <f t="shared" ca="1" si="34"/>
        <v>0</v>
      </c>
      <c r="N532" s="16" t="b">
        <f t="shared" ca="1" si="35"/>
        <v>0</v>
      </c>
    </row>
    <row r="533" spans="2:14" x14ac:dyDescent="0.35">
      <c r="B533" s="12" t="s">
        <v>559</v>
      </c>
      <c r="L533" s="5" t="s">
        <v>26</v>
      </c>
      <c r="M533" s="7" t="b">
        <f t="shared" ca="1" si="34"/>
        <v>0</v>
      </c>
      <c r="N533" s="16" t="b">
        <f t="shared" ca="1" si="35"/>
        <v>0</v>
      </c>
    </row>
    <row r="534" spans="2:14" x14ac:dyDescent="0.35">
      <c r="B534" s="12" t="s">
        <v>560</v>
      </c>
      <c r="L534" s="5" t="s">
        <v>25</v>
      </c>
      <c r="M534" s="7" t="b">
        <f t="shared" ca="1" si="34"/>
        <v>0</v>
      </c>
      <c r="N534" s="16" t="b">
        <f t="shared" ca="1" si="35"/>
        <v>0</v>
      </c>
    </row>
    <row r="535" spans="2:14" x14ac:dyDescent="0.35">
      <c r="B535" s="12" t="s">
        <v>561</v>
      </c>
      <c r="L535" s="5" t="s">
        <v>26</v>
      </c>
      <c r="M535" s="7" t="b">
        <f t="shared" ca="1" si="34"/>
        <v>0</v>
      </c>
      <c r="N535" s="16" t="b">
        <f t="shared" ca="1" si="35"/>
        <v>0</v>
      </c>
    </row>
    <row r="536" spans="2:14" x14ac:dyDescent="0.35">
      <c r="B536" s="12" t="s">
        <v>562</v>
      </c>
      <c r="L536" s="5" t="s">
        <v>25</v>
      </c>
      <c r="M536" s="7" t="b">
        <f t="shared" ca="1" si="34"/>
        <v>0</v>
      </c>
      <c r="N536" s="16" t="b">
        <f t="shared" ca="1" si="35"/>
        <v>0</v>
      </c>
    </row>
    <row r="537" spans="2:14" x14ac:dyDescent="0.35">
      <c r="B537" s="12" t="s">
        <v>563</v>
      </c>
      <c r="L537" s="5" t="s">
        <v>26</v>
      </c>
      <c r="M537" s="7" t="b">
        <f t="shared" ca="1" si="34"/>
        <v>0</v>
      </c>
      <c r="N537" s="16" t="b">
        <f t="shared" ca="1" si="35"/>
        <v>0</v>
      </c>
    </row>
    <row r="538" spans="2:14" x14ac:dyDescent="0.35">
      <c r="B538" s="12" t="s">
        <v>564</v>
      </c>
      <c r="L538" s="5" t="s">
        <v>25</v>
      </c>
      <c r="M538" s="7" t="b">
        <f t="shared" ca="1" si="34"/>
        <v>0</v>
      </c>
      <c r="N538" s="16" t="b">
        <f t="shared" ca="1" si="35"/>
        <v>0</v>
      </c>
    </row>
    <row r="539" spans="2:14" x14ac:dyDescent="0.35">
      <c r="B539" s="12" t="s">
        <v>565</v>
      </c>
      <c r="L539" s="5" t="s">
        <v>26</v>
      </c>
      <c r="M539" s="7" t="b">
        <f t="shared" ca="1" si="34"/>
        <v>0</v>
      </c>
      <c r="N539" s="16" t="b">
        <f t="shared" ca="1" si="35"/>
        <v>0</v>
      </c>
    </row>
    <row r="540" spans="2:14" x14ac:dyDescent="0.35">
      <c r="B540" s="12" t="s">
        <v>566</v>
      </c>
      <c r="L540" s="5" t="s">
        <v>25</v>
      </c>
      <c r="M540" s="7" t="b">
        <f t="shared" ca="1" si="34"/>
        <v>0</v>
      </c>
      <c r="N540" s="16" t="b">
        <f t="shared" ca="1" si="35"/>
        <v>0</v>
      </c>
    </row>
    <row r="541" spans="2:14" x14ac:dyDescent="0.35">
      <c r="B541" s="12" t="s">
        <v>567</v>
      </c>
      <c r="L541" s="5" t="s">
        <v>26</v>
      </c>
      <c r="M541" s="7" t="b">
        <f t="shared" ca="1" si="34"/>
        <v>0</v>
      </c>
      <c r="N541" s="16" t="b">
        <f t="shared" ca="1" si="35"/>
        <v>0</v>
      </c>
    </row>
    <row r="542" spans="2:14" x14ac:dyDescent="0.35">
      <c r="B542" s="12" t="s">
        <v>568</v>
      </c>
      <c r="L542" s="5" t="s">
        <v>25</v>
      </c>
      <c r="M542" s="7" t="b">
        <f t="shared" ca="1" si="34"/>
        <v>0</v>
      </c>
      <c r="N542" s="16" t="b">
        <f t="shared" ca="1" si="35"/>
        <v>0</v>
      </c>
    </row>
    <row r="543" spans="2:14" x14ac:dyDescent="0.35">
      <c r="B543" s="12" t="s">
        <v>569</v>
      </c>
      <c r="L543" s="5" t="s">
        <v>26</v>
      </c>
      <c r="M543" s="7" t="b">
        <f t="shared" ca="1" si="34"/>
        <v>0</v>
      </c>
      <c r="N543" s="16" t="b">
        <f t="shared" ca="1" si="35"/>
        <v>0</v>
      </c>
    </row>
    <row r="544" spans="2:14" x14ac:dyDescent="0.35">
      <c r="B544" s="12" t="s">
        <v>570</v>
      </c>
      <c r="L544" s="5" t="s">
        <v>25</v>
      </c>
      <c r="M544" s="7" t="b">
        <f t="shared" ca="1" si="34"/>
        <v>0</v>
      </c>
      <c r="N544" s="16" t="b">
        <f t="shared" ca="1" si="35"/>
        <v>0</v>
      </c>
    </row>
    <row r="545" spans="2:14" x14ac:dyDescent="0.35">
      <c r="B545" s="12" t="s">
        <v>571</v>
      </c>
      <c r="L545" s="5" t="s">
        <v>26</v>
      </c>
      <c r="M545" s="7" t="b">
        <f t="shared" ca="1" si="34"/>
        <v>0</v>
      </c>
      <c r="N545" s="16" t="b">
        <f t="shared" ca="1" si="35"/>
        <v>0</v>
      </c>
    </row>
    <row r="546" spans="2:14" x14ac:dyDescent="0.35">
      <c r="B546" s="12" t="s">
        <v>572</v>
      </c>
      <c r="L546" s="5" t="s">
        <v>25</v>
      </c>
      <c r="M546" s="7" t="b">
        <f t="shared" ca="1" si="34"/>
        <v>0</v>
      </c>
      <c r="N546" s="16" t="b">
        <f t="shared" ca="1" si="35"/>
        <v>0</v>
      </c>
    </row>
    <row r="547" spans="2:14" x14ac:dyDescent="0.35">
      <c r="B547" s="12" t="s">
        <v>573</v>
      </c>
      <c r="L547" s="5" t="s">
        <v>26</v>
      </c>
      <c r="M547" s="7" t="b">
        <f t="shared" ca="1" si="34"/>
        <v>0</v>
      </c>
      <c r="N547" s="16" t="b">
        <f t="shared" ca="1" si="35"/>
        <v>0</v>
      </c>
    </row>
    <row r="548" spans="2:14" x14ac:dyDescent="0.35">
      <c r="B548" s="12" t="s">
        <v>574</v>
      </c>
      <c r="L548" s="5" t="s">
        <v>25</v>
      </c>
      <c r="M548" s="7" t="b">
        <f t="shared" ca="1" si="34"/>
        <v>0</v>
      </c>
      <c r="N548" s="16" t="b">
        <f t="shared" ca="1" si="35"/>
        <v>0</v>
      </c>
    </row>
    <row r="549" spans="2:14" x14ac:dyDescent="0.35">
      <c r="B549" s="12" t="s">
        <v>575</v>
      </c>
      <c r="L549" s="5" t="s">
        <v>26</v>
      </c>
      <c r="M549" s="7" t="b">
        <f t="shared" ca="1" si="34"/>
        <v>0</v>
      </c>
      <c r="N549" s="16" t="b">
        <f t="shared" ca="1" si="35"/>
        <v>0</v>
      </c>
    </row>
    <row r="550" spans="2:14" x14ac:dyDescent="0.35">
      <c r="B550" s="12" t="s">
        <v>576</v>
      </c>
      <c r="L550" s="5" t="s">
        <v>25</v>
      </c>
      <c r="M550" s="7" t="b">
        <f t="shared" ca="1" si="34"/>
        <v>0</v>
      </c>
      <c r="N550" s="16" t="b">
        <f t="shared" ca="1" si="35"/>
        <v>0</v>
      </c>
    </row>
    <row r="551" spans="2:14" x14ac:dyDescent="0.35">
      <c r="B551" s="12" t="s">
        <v>577</v>
      </c>
      <c r="L551" s="5" t="s">
        <v>26</v>
      </c>
      <c r="M551" s="7" t="b">
        <f t="shared" ca="1" si="34"/>
        <v>0</v>
      </c>
      <c r="N551" s="16" t="b">
        <f t="shared" ca="1" si="35"/>
        <v>0</v>
      </c>
    </row>
    <row r="552" spans="2:14" x14ac:dyDescent="0.35">
      <c r="B552" s="12" t="s">
        <v>578</v>
      </c>
      <c r="L552" s="5" t="s">
        <v>25</v>
      </c>
      <c r="M552" s="7" t="b">
        <f t="shared" ca="1" si="34"/>
        <v>0</v>
      </c>
      <c r="N552" s="16" t="b">
        <f t="shared" ca="1" si="35"/>
        <v>0</v>
      </c>
    </row>
    <row r="553" spans="2:14" x14ac:dyDescent="0.35">
      <c r="B553" s="12" t="s">
        <v>579</v>
      </c>
      <c r="L553" s="5" t="s">
        <v>26</v>
      </c>
      <c r="M553" s="7" t="b">
        <f t="shared" ca="1" si="34"/>
        <v>0</v>
      </c>
      <c r="N553" s="16" t="b">
        <f t="shared" ca="1" si="35"/>
        <v>0</v>
      </c>
    </row>
    <row r="554" spans="2:14" x14ac:dyDescent="0.35">
      <c r="B554" s="12" t="s">
        <v>580</v>
      </c>
      <c r="L554" s="5" t="s">
        <v>25</v>
      </c>
      <c r="M554" s="7" t="b">
        <f t="shared" ca="1" si="34"/>
        <v>0</v>
      </c>
      <c r="N554" s="16" t="b">
        <f t="shared" ca="1" si="35"/>
        <v>0</v>
      </c>
    </row>
    <row r="555" spans="2:14" x14ac:dyDescent="0.35">
      <c r="B555" s="12" t="s">
        <v>581</v>
      </c>
      <c r="L555" s="5" t="s">
        <v>26</v>
      </c>
      <c r="M555" s="7" t="b">
        <f t="shared" ca="1" si="34"/>
        <v>0</v>
      </c>
      <c r="N555" s="16" t="b">
        <f t="shared" ca="1" si="35"/>
        <v>0</v>
      </c>
    </row>
    <row r="556" spans="2:14" x14ac:dyDescent="0.35">
      <c r="B556" s="12" t="s">
        <v>582</v>
      </c>
      <c r="L556" s="5" t="s">
        <v>25</v>
      </c>
      <c r="M556" s="7" t="b">
        <f t="shared" ca="1" si="34"/>
        <v>0</v>
      </c>
      <c r="N556" s="16" t="b">
        <f t="shared" ca="1" si="35"/>
        <v>0</v>
      </c>
    </row>
    <row r="557" spans="2:14" x14ac:dyDescent="0.35">
      <c r="B557" s="12" t="s">
        <v>583</v>
      </c>
      <c r="L557" s="5" t="s">
        <v>26</v>
      </c>
      <c r="M557" s="7" t="b">
        <f t="shared" ca="1" si="34"/>
        <v>0</v>
      </c>
      <c r="N557" s="16" t="b">
        <f t="shared" ca="1" si="35"/>
        <v>0</v>
      </c>
    </row>
    <row r="558" spans="2:14" x14ac:dyDescent="0.35">
      <c r="B558" s="12" t="s">
        <v>584</v>
      </c>
      <c r="L558" s="5" t="s">
        <v>25</v>
      </c>
      <c r="M558" s="7" t="b">
        <f t="shared" ca="1" si="34"/>
        <v>0</v>
      </c>
      <c r="N558" s="16" t="b">
        <f t="shared" ca="1" si="35"/>
        <v>0</v>
      </c>
    </row>
    <row r="559" spans="2:14" x14ac:dyDescent="0.35">
      <c r="B559" s="12" t="s">
        <v>585</v>
      </c>
      <c r="L559" s="5" t="s">
        <v>26</v>
      </c>
      <c r="M559" s="7" t="b">
        <f t="shared" ca="1" si="34"/>
        <v>0</v>
      </c>
      <c r="N559" s="16" t="b">
        <f t="shared" ca="1" si="35"/>
        <v>0</v>
      </c>
    </row>
    <row r="560" spans="2:14" x14ac:dyDescent="0.35">
      <c r="B560" s="12" t="s">
        <v>586</v>
      </c>
      <c r="L560" s="5" t="s">
        <v>25</v>
      </c>
      <c r="M560" s="7" t="b">
        <f t="shared" ca="1" si="34"/>
        <v>0</v>
      </c>
      <c r="N560" s="16" t="b">
        <f t="shared" ca="1" si="35"/>
        <v>0</v>
      </c>
    </row>
    <row r="561" spans="2:14" x14ac:dyDescent="0.35">
      <c r="B561" s="12" t="s">
        <v>587</v>
      </c>
      <c r="L561" s="5" t="s">
        <v>26</v>
      </c>
      <c r="M561" s="7" t="b">
        <f t="shared" ca="1" si="34"/>
        <v>0</v>
      </c>
      <c r="N561" s="16" t="b">
        <f t="shared" ca="1" si="35"/>
        <v>0</v>
      </c>
    </row>
    <row r="562" spans="2:14" x14ac:dyDescent="0.35">
      <c r="B562" s="12" t="s">
        <v>588</v>
      </c>
      <c r="L562" s="5" t="s">
        <v>25</v>
      </c>
      <c r="M562" s="7" t="b">
        <f t="shared" ca="1" si="34"/>
        <v>0</v>
      </c>
      <c r="N562" s="16" t="b">
        <f t="shared" ca="1" si="35"/>
        <v>0</v>
      </c>
    </row>
    <row r="563" spans="2:14" x14ac:dyDescent="0.35">
      <c r="B563" s="12" t="s">
        <v>589</v>
      </c>
      <c r="L563" s="5" t="s">
        <v>26</v>
      </c>
      <c r="M563" s="7" t="b">
        <f t="shared" ca="1" si="34"/>
        <v>0</v>
      </c>
      <c r="N563" s="16" t="b">
        <f t="shared" ca="1" si="35"/>
        <v>0</v>
      </c>
    </row>
    <row r="564" spans="2:14" x14ac:dyDescent="0.35">
      <c r="B564" s="12" t="s">
        <v>590</v>
      </c>
      <c r="L564" s="5" t="s">
        <v>25</v>
      </c>
      <c r="M564" s="7" t="b">
        <f t="shared" ca="1" si="34"/>
        <v>0</v>
      </c>
      <c r="N564" s="16" t="b">
        <f t="shared" ca="1" si="35"/>
        <v>0</v>
      </c>
    </row>
    <row r="565" spans="2:14" x14ac:dyDescent="0.35">
      <c r="B565" s="12" t="s">
        <v>591</v>
      </c>
      <c r="L565" s="5" t="s">
        <v>26</v>
      </c>
      <c r="M565" s="7" t="b">
        <f t="shared" ca="1" si="34"/>
        <v>0</v>
      </c>
      <c r="N565" s="16" t="b">
        <f t="shared" ca="1" si="35"/>
        <v>0</v>
      </c>
    </row>
    <row r="566" spans="2:14" x14ac:dyDescent="0.35">
      <c r="B566" s="12" t="s">
        <v>592</v>
      </c>
      <c r="L566" s="5" t="s">
        <v>25</v>
      </c>
      <c r="M566" s="7" t="b">
        <f t="shared" ca="1" si="34"/>
        <v>0</v>
      </c>
      <c r="N566" s="16" t="b">
        <f t="shared" ca="1" si="35"/>
        <v>0</v>
      </c>
    </row>
    <row r="567" spans="2:14" x14ac:dyDescent="0.35">
      <c r="B567" s="12" t="s">
        <v>593</v>
      </c>
      <c r="L567" s="5" t="s">
        <v>26</v>
      </c>
      <c r="M567" s="7" t="b">
        <f t="shared" ca="1" si="34"/>
        <v>0</v>
      </c>
      <c r="N567" s="16" t="b">
        <f t="shared" ca="1" si="35"/>
        <v>0</v>
      </c>
    </row>
    <row r="568" spans="2:14" x14ac:dyDescent="0.35">
      <c r="B568" s="12" t="s">
        <v>594</v>
      </c>
      <c r="L568" s="5" t="s">
        <v>25</v>
      </c>
      <c r="M568" s="7" t="b">
        <f t="shared" ca="1" si="34"/>
        <v>0</v>
      </c>
      <c r="N568" s="16" t="b">
        <f t="shared" ca="1" si="35"/>
        <v>0</v>
      </c>
    </row>
    <row r="569" spans="2:14" x14ac:dyDescent="0.35">
      <c r="B569" s="12" t="s">
        <v>595</v>
      </c>
      <c r="L569" s="5" t="s">
        <v>26</v>
      </c>
      <c r="M569" s="7" t="b">
        <f t="shared" ca="1" si="34"/>
        <v>0</v>
      </c>
      <c r="N569" s="16" t="b">
        <f t="shared" ca="1" si="35"/>
        <v>0</v>
      </c>
    </row>
    <row r="570" spans="2:14" x14ac:dyDescent="0.35">
      <c r="B570" s="12" t="s">
        <v>596</v>
      </c>
      <c r="L570" s="5" t="s">
        <v>25</v>
      </c>
      <c r="M570" s="7" t="b">
        <f t="shared" ca="1" si="34"/>
        <v>0</v>
      </c>
      <c r="N570" s="16" t="b">
        <f t="shared" ca="1" si="35"/>
        <v>0</v>
      </c>
    </row>
    <row r="571" spans="2:14" x14ac:dyDescent="0.35">
      <c r="B571" s="12" t="s">
        <v>597</v>
      </c>
      <c r="L571" s="5" t="s">
        <v>26</v>
      </c>
      <c r="M571" s="7" t="b">
        <f t="shared" ca="1" si="34"/>
        <v>0</v>
      </c>
      <c r="N571" s="16" t="b">
        <f t="shared" ca="1" si="35"/>
        <v>0</v>
      </c>
    </row>
    <row r="572" spans="2:14" x14ac:dyDescent="0.35">
      <c r="B572" s="12" t="s">
        <v>598</v>
      </c>
      <c r="L572" s="5" t="s">
        <v>25</v>
      </c>
      <c r="M572" s="7" t="b">
        <f t="shared" ca="1" si="34"/>
        <v>0</v>
      </c>
      <c r="N572" s="16" t="b">
        <f t="shared" ca="1" si="35"/>
        <v>0</v>
      </c>
    </row>
    <row r="573" spans="2:14" x14ac:dyDescent="0.35">
      <c r="B573" s="12" t="s">
        <v>599</v>
      </c>
      <c r="L573" s="5" t="s">
        <v>26</v>
      </c>
      <c r="M573" s="7" t="b">
        <f t="shared" ca="1" si="34"/>
        <v>0</v>
      </c>
      <c r="N573" s="16" t="b">
        <f t="shared" ca="1" si="35"/>
        <v>0</v>
      </c>
    </row>
    <row r="574" spans="2:14" x14ac:dyDescent="0.35">
      <c r="B574" s="12" t="s">
        <v>600</v>
      </c>
      <c r="L574" s="5" t="s">
        <v>25</v>
      </c>
      <c r="M574" s="7" t="b">
        <f t="shared" ca="1" si="34"/>
        <v>0</v>
      </c>
      <c r="N574" s="16" t="b">
        <f t="shared" ca="1" si="35"/>
        <v>0</v>
      </c>
    </row>
    <row r="575" spans="2:14" x14ac:dyDescent="0.35">
      <c r="B575" s="12" t="s">
        <v>601</v>
      </c>
      <c r="L575" s="5" t="s">
        <v>26</v>
      </c>
      <c r="M575" s="7" t="b">
        <f t="shared" ca="1" si="34"/>
        <v>0</v>
      </c>
      <c r="N575" s="16" t="b">
        <f t="shared" ca="1" si="35"/>
        <v>0</v>
      </c>
    </row>
    <row r="576" spans="2:14" x14ac:dyDescent="0.35">
      <c r="B576" s="12" t="s">
        <v>602</v>
      </c>
      <c r="L576" s="5" t="s">
        <v>25</v>
      </c>
      <c r="M576" s="7" t="b">
        <f t="shared" ca="1" si="34"/>
        <v>0</v>
      </c>
      <c r="N576" s="16" t="b">
        <f t="shared" ca="1" si="35"/>
        <v>0</v>
      </c>
    </row>
    <row r="577" spans="2:14" x14ac:dyDescent="0.35">
      <c r="B577" s="12" t="s">
        <v>603</v>
      </c>
      <c r="L577" s="5" t="s">
        <v>26</v>
      </c>
      <c r="M577" s="7" t="b">
        <f t="shared" ca="1" si="34"/>
        <v>0</v>
      </c>
      <c r="N577" s="16" t="b">
        <f t="shared" ca="1" si="35"/>
        <v>0</v>
      </c>
    </row>
    <row r="578" spans="2:14" x14ac:dyDescent="0.35">
      <c r="B578" s="12" t="s">
        <v>604</v>
      </c>
      <c r="L578" s="5" t="s">
        <v>25</v>
      </c>
      <c r="M578" s="7" t="b">
        <f t="shared" ca="1" si="34"/>
        <v>0</v>
      </c>
      <c r="N578" s="16" t="b">
        <f t="shared" ca="1" si="35"/>
        <v>0</v>
      </c>
    </row>
    <row r="579" spans="2:14" x14ac:dyDescent="0.35">
      <c r="B579" s="12" t="s">
        <v>605</v>
      </c>
      <c r="L579" s="5" t="s">
        <v>26</v>
      </c>
      <c r="M579" s="7" t="b">
        <f t="shared" ref="M579:M642" ca="1" si="36">AND(A579&gt;=(TODAY()-28),A579&lt;TODAY())</f>
        <v>0</v>
      </c>
      <c r="N579" s="16" t="b">
        <f t="shared" ref="N579:N642" ca="1" si="37">AND(A579&gt;=(TODAY()-56),A579&lt;(TODAY()-28))</f>
        <v>0</v>
      </c>
    </row>
    <row r="580" spans="2:14" x14ac:dyDescent="0.35">
      <c r="B580" s="12" t="s">
        <v>606</v>
      </c>
      <c r="L580" s="5" t="s">
        <v>25</v>
      </c>
      <c r="M580" s="7" t="b">
        <f t="shared" ca="1" si="36"/>
        <v>0</v>
      </c>
      <c r="N580" s="16" t="b">
        <f t="shared" ca="1" si="37"/>
        <v>0</v>
      </c>
    </row>
    <row r="581" spans="2:14" x14ac:dyDescent="0.35">
      <c r="B581" s="12" t="s">
        <v>607</v>
      </c>
      <c r="L581" s="5" t="s">
        <v>26</v>
      </c>
      <c r="M581" s="7" t="b">
        <f t="shared" ca="1" si="36"/>
        <v>0</v>
      </c>
      <c r="N581" s="16" t="b">
        <f t="shared" ca="1" si="37"/>
        <v>0</v>
      </c>
    </row>
    <row r="582" spans="2:14" x14ac:dyDescent="0.35">
      <c r="B582" s="12" t="s">
        <v>608</v>
      </c>
      <c r="L582" s="5" t="s">
        <v>25</v>
      </c>
      <c r="M582" s="7" t="b">
        <f t="shared" ca="1" si="36"/>
        <v>0</v>
      </c>
      <c r="N582" s="16" t="b">
        <f t="shared" ca="1" si="37"/>
        <v>0</v>
      </c>
    </row>
    <row r="583" spans="2:14" x14ac:dyDescent="0.35">
      <c r="B583" s="12" t="s">
        <v>609</v>
      </c>
      <c r="L583" s="5" t="s">
        <v>26</v>
      </c>
      <c r="M583" s="7" t="b">
        <f t="shared" ca="1" si="36"/>
        <v>0</v>
      </c>
      <c r="N583" s="16" t="b">
        <f t="shared" ca="1" si="37"/>
        <v>0</v>
      </c>
    </row>
    <row r="584" spans="2:14" x14ac:dyDescent="0.35">
      <c r="B584" s="12" t="s">
        <v>610</v>
      </c>
      <c r="L584" s="5" t="s">
        <v>25</v>
      </c>
      <c r="M584" s="7" t="b">
        <f t="shared" ca="1" si="36"/>
        <v>0</v>
      </c>
      <c r="N584" s="16" t="b">
        <f t="shared" ca="1" si="37"/>
        <v>0</v>
      </c>
    </row>
    <row r="585" spans="2:14" x14ac:dyDescent="0.35">
      <c r="B585" s="12" t="s">
        <v>611</v>
      </c>
      <c r="L585" s="5" t="s">
        <v>26</v>
      </c>
      <c r="M585" s="7" t="b">
        <f t="shared" ca="1" si="36"/>
        <v>0</v>
      </c>
      <c r="N585" s="16" t="b">
        <f t="shared" ca="1" si="37"/>
        <v>0</v>
      </c>
    </row>
    <row r="586" spans="2:14" x14ac:dyDescent="0.35">
      <c r="B586" s="12" t="s">
        <v>612</v>
      </c>
      <c r="L586" s="5" t="s">
        <v>25</v>
      </c>
      <c r="M586" s="7" t="b">
        <f t="shared" ca="1" si="36"/>
        <v>0</v>
      </c>
      <c r="N586" s="16" t="b">
        <f t="shared" ca="1" si="37"/>
        <v>0</v>
      </c>
    </row>
    <row r="587" spans="2:14" x14ac:dyDescent="0.35">
      <c r="B587" s="12" t="s">
        <v>613</v>
      </c>
      <c r="L587" s="5" t="s">
        <v>26</v>
      </c>
      <c r="M587" s="7" t="b">
        <f t="shared" ca="1" si="36"/>
        <v>0</v>
      </c>
      <c r="N587" s="16" t="b">
        <f t="shared" ca="1" si="37"/>
        <v>0</v>
      </c>
    </row>
    <row r="588" spans="2:14" x14ac:dyDescent="0.35">
      <c r="B588" s="12" t="s">
        <v>614</v>
      </c>
      <c r="L588" s="5" t="s">
        <v>25</v>
      </c>
      <c r="M588" s="7" t="b">
        <f t="shared" ca="1" si="36"/>
        <v>0</v>
      </c>
      <c r="N588" s="16" t="b">
        <f t="shared" ca="1" si="37"/>
        <v>0</v>
      </c>
    </row>
    <row r="589" spans="2:14" x14ac:dyDescent="0.35">
      <c r="B589" s="12" t="s">
        <v>615</v>
      </c>
      <c r="L589" s="5" t="s">
        <v>26</v>
      </c>
      <c r="M589" s="7" t="b">
        <f t="shared" ca="1" si="36"/>
        <v>0</v>
      </c>
      <c r="N589" s="16" t="b">
        <f t="shared" ca="1" si="37"/>
        <v>0</v>
      </c>
    </row>
    <row r="590" spans="2:14" x14ac:dyDescent="0.35">
      <c r="B590" s="12" t="s">
        <v>616</v>
      </c>
      <c r="L590" s="5" t="s">
        <v>25</v>
      </c>
      <c r="M590" s="7" t="b">
        <f t="shared" ca="1" si="36"/>
        <v>0</v>
      </c>
      <c r="N590" s="16" t="b">
        <f t="shared" ca="1" si="37"/>
        <v>0</v>
      </c>
    </row>
    <row r="591" spans="2:14" x14ac:dyDescent="0.35">
      <c r="B591" s="12" t="s">
        <v>617</v>
      </c>
      <c r="L591" s="5" t="s">
        <v>26</v>
      </c>
      <c r="M591" s="7" t="b">
        <f t="shared" ca="1" si="36"/>
        <v>0</v>
      </c>
      <c r="N591" s="16" t="b">
        <f t="shared" ca="1" si="37"/>
        <v>0</v>
      </c>
    </row>
    <row r="592" spans="2:14" x14ac:dyDescent="0.35">
      <c r="B592" s="12" t="s">
        <v>618</v>
      </c>
      <c r="L592" s="5" t="s">
        <v>25</v>
      </c>
      <c r="M592" s="7" t="b">
        <f t="shared" ca="1" si="36"/>
        <v>0</v>
      </c>
      <c r="N592" s="16" t="b">
        <f t="shared" ca="1" si="37"/>
        <v>0</v>
      </c>
    </row>
    <row r="593" spans="2:14" x14ac:dyDescent="0.35">
      <c r="B593" s="12" t="s">
        <v>619</v>
      </c>
      <c r="L593" s="5" t="s">
        <v>26</v>
      </c>
      <c r="M593" s="7" t="b">
        <f t="shared" ca="1" si="36"/>
        <v>0</v>
      </c>
      <c r="N593" s="16" t="b">
        <f t="shared" ca="1" si="37"/>
        <v>0</v>
      </c>
    </row>
    <row r="594" spans="2:14" x14ac:dyDescent="0.35">
      <c r="B594" s="12" t="s">
        <v>620</v>
      </c>
      <c r="L594" s="5" t="s">
        <v>25</v>
      </c>
      <c r="M594" s="7" t="b">
        <f t="shared" ca="1" si="36"/>
        <v>0</v>
      </c>
      <c r="N594" s="16" t="b">
        <f t="shared" ca="1" si="37"/>
        <v>0</v>
      </c>
    </row>
    <row r="595" spans="2:14" x14ac:dyDescent="0.35">
      <c r="B595" s="12" t="s">
        <v>621</v>
      </c>
      <c r="L595" s="5" t="s">
        <v>26</v>
      </c>
      <c r="M595" s="7" t="b">
        <f t="shared" ca="1" si="36"/>
        <v>0</v>
      </c>
      <c r="N595" s="16" t="b">
        <f t="shared" ca="1" si="37"/>
        <v>0</v>
      </c>
    </row>
    <row r="596" spans="2:14" x14ac:dyDescent="0.35">
      <c r="B596" s="12" t="s">
        <v>622</v>
      </c>
      <c r="L596" s="5" t="s">
        <v>25</v>
      </c>
      <c r="M596" s="7" t="b">
        <f t="shared" ca="1" si="36"/>
        <v>0</v>
      </c>
      <c r="N596" s="16" t="b">
        <f t="shared" ca="1" si="37"/>
        <v>0</v>
      </c>
    </row>
    <row r="597" spans="2:14" x14ac:dyDescent="0.35">
      <c r="B597" s="12" t="s">
        <v>623</v>
      </c>
      <c r="L597" s="5" t="s">
        <v>26</v>
      </c>
      <c r="M597" s="7" t="b">
        <f t="shared" ca="1" si="36"/>
        <v>0</v>
      </c>
      <c r="N597" s="16" t="b">
        <f t="shared" ca="1" si="37"/>
        <v>0</v>
      </c>
    </row>
    <row r="598" spans="2:14" x14ac:dyDescent="0.35">
      <c r="B598" s="12" t="s">
        <v>624</v>
      </c>
      <c r="L598" s="5" t="s">
        <v>25</v>
      </c>
      <c r="M598" s="7" t="b">
        <f t="shared" ca="1" si="36"/>
        <v>0</v>
      </c>
      <c r="N598" s="16" t="b">
        <f t="shared" ca="1" si="37"/>
        <v>0</v>
      </c>
    </row>
    <row r="599" spans="2:14" x14ac:dyDescent="0.35">
      <c r="B599" s="12" t="s">
        <v>625</v>
      </c>
      <c r="L599" s="5" t="s">
        <v>26</v>
      </c>
      <c r="M599" s="7" t="b">
        <f t="shared" ca="1" si="36"/>
        <v>0</v>
      </c>
      <c r="N599" s="16" t="b">
        <f t="shared" ca="1" si="37"/>
        <v>0</v>
      </c>
    </row>
    <row r="600" spans="2:14" x14ac:dyDescent="0.35">
      <c r="B600" s="12" t="s">
        <v>626</v>
      </c>
      <c r="L600" s="5" t="s">
        <v>25</v>
      </c>
      <c r="M600" s="7" t="b">
        <f t="shared" ca="1" si="36"/>
        <v>0</v>
      </c>
      <c r="N600" s="16" t="b">
        <f t="shared" ca="1" si="37"/>
        <v>0</v>
      </c>
    </row>
    <row r="601" spans="2:14" x14ac:dyDescent="0.35">
      <c r="B601" s="12" t="s">
        <v>627</v>
      </c>
      <c r="L601" s="5" t="s">
        <v>26</v>
      </c>
      <c r="M601" s="7" t="b">
        <f t="shared" ca="1" si="36"/>
        <v>0</v>
      </c>
      <c r="N601" s="16" t="b">
        <f t="shared" ca="1" si="37"/>
        <v>0</v>
      </c>
    </row>
    <row r="602" spans="2:14" x14ac:dyDescent="0.35">
      <c r="B602" s="12" t="s">
        <v>628</v>
      </c>
      <c r="L602" s="5" t="s">
        <v>25</v>
      </c>
      <c r="M602" s="7" t="b">
        <f t="shared" ca="1" si="36"/>
        <v>0</v>
      </c>
      <c r="N602" s="16" t="b">
        <f t="shared" ca="1" si="37"/>
        <v>0</v>
      </c>
    </row>
    <row r="603" spans="2:14" x14ac:dyDescent="0.35">
      <c r="B603" s="12" t="s">
        <v>629</v>
      </c>
      <c r="L603" s="5" t="s">
        <v>26</v>
      </c>
      <c r="M603" s="7" t="b">
        <f t="shared" ca="1" si="36"/>
        <v>0</v>
      </c>
      <c r="N603" s="16" t="b">
        <f t="shared" ca="1" si="37"/>
        <v>0</v>
      </c>
    </row>
    <row r="604" spans="2:14" x14ac:dyDescent="0.35">
      <c r="B604" s="12" t="s">
        <v>630</v>
      </c>
      <c r="L604" s="5" t="s">
        <v>25</v>
      </c>
      <c r="M604" s="7" t="b">
        <f t="shared" ca="1" si="36"/>
        <v>0</v>
      </c>
      <c r="N604" s="16" t="b">
        <f t="shared" ca="1" si="37"/>
        <v>0</v>
      </c>
    </row>
    <row r="605" spans="2:14" x14ac:dyDescent="0.35">
      <c r="B605" s="12" t="s">
        <v>631</v>
      </c>
      <c r="L605" s="5" t="s">
        <v>26</v>
      </c>
      <c r="M605" s="7" t="b">
        <f t="shared" ca="1" si="36"/>
        <v>0</v>
      </c>
      <c r="N605" s="16" t="b">
        <f t="shared" ca="1" si="37"/>
        <v>0</v>
      </c>
    </row>
    <row r="606" spans="2:14" x14ac:dyDescent="0.35">
      <c r="B606" s="12" t="s">
        <v>632</v>
      </c>
      <c r="L606" s="5" t="s">
        <v>25</v>
      </c>
      <c r="M606" s="7" t="b">
        <f t="shared" ca="1" si="36"/>
        <v>0</v>
      </c>
      <c r="N606" s="16" t="b">
        <f t="shared" ca="1" si="37"/>
        <v>0</v>
      </c>
    </row>
    <row r="607" spans="2:14" x14ac:dyDescent="0.35">
      <c r="B607" s="12" t="s">
        <v>633</v>
      </c>
      <c r="L607" s="5" t="s">
        <v>26</v>
      </c>
      <c r="M607" s="7" t="b">
        <f t="shared" ca="1" si="36"/>
        <v>0</v>
      </c>
      <c r="N607" s="16" t="b">
        <f t="shared" ca="1" si="37"/>
        <v>0</v>
      </c>
    </row>
    <row r="608" spans="2:14" x14ac:dyDescent="0.35">
      <c r="B608" s="12" t="s">
        <v>634</v>
      </c>
      <c r="L608" s="5" t="s">
        <v>25</v>
      </c>
      <c r="M608" s="7" t="b">
        <f t="shared" ca="1" si="36"/>
        <v>0</v>
      </c>
      <c r="N608" s="16" t="b">
        <f t="shared" ca="1" si="37"/>
        <v>0</v>
      </c>
    </row>
    <row r="609" spans="2:14" x14ac:dyDescent="0.35">
      <c r="B609" s="12" t="s">
        <v>635</v>
      </c>
      <c r="L609" s="5" t="s">
        <v>26</v>
      </c>
      <c r="M609" s="7" t="b">
        <f t="shared" ca="1" si="36"/>
        <v>0</v>
      </c>
      <c r="N609" s="16" t="b">
        <f t="shared" ca="1" si="37"/>
        <v>0</v>
      </c>
    </row>
    <row r="610" spans="2:14" x14ac:dyDescent="0.35">
      <c r="B610" s="12" t="s">
        <v>636</v>
      </c>
      <c r="L610" s="5" t="s">
        <v>25</v>
      </c>
      <c r="M610" s="7" t="b">
        <f t="shared" ca="1" si="36"/>
        <v>0</v>
      </c>
      <c r="N610" s="16" t="b">
        <f t="shared" ca="1" si="37"/>
        <v>0</v>
      </c>
    </row>
    <row r="611" spans="2:14" x14ac:dyDescent="0.35">
      <c r="B611" s="12" t="s">
        <v>637</v>
      </c>
      <c r="L611" s="5" t="s">
        <v>26</v>
      </c>
      <c r="M611" s="7" t="b">
        <f t="shared" ca="1" si="36"/>
        <v>0</v>
      </c>
      <c r="N611" s="16" t="b">
        <f t="shared" ca="1" si="37"/>
        <v>0</v>
      </c>
    </row>
    <row r="612" spans="2:14" x14ac:dyDescent="0.35">
      <c r="B612" s="12" t="s">
        <v>638</v>
      </c>
      <c r="L612" s="5" t="s">
        <v>25</v>
      </c>
      <c r="M612" s="7" t="b">
        <f t="shared" ca="1" si="36"/>
        <v>0</v>
      </c>
      <c r="N612" s="16" t="b">
        <f t="shared" ca="1" si="37"/>
        <v>0</v>
      </c>
    </row>
    <row r="613" spans="2:14" x14ac:dyDescent="0.35">
      <c r="B613" s="12" t="s">
        <v>639</v>
      </c>
      <c r="L613" s="5" t="s">
        <v>26</v>
      </c>
      <c r="M613" s="7" t="b">
        <f t="shared" ca="1" si="36"/>
        <v>0</v>
      </c>
      <c r="N613" s="16" t="b">
        <f t="shared" ca="1" si="37"/>
        <v>0</v>
      </c>
    </row>
    <row r="614" spans="2:14" x14ac:dyDescent="0.35">
      <c r="B614" s="12" t="s">
        <v>640</v>
      </c>
      <c r="L614" s="5" t="s">
        <v>25</v>
      </c>
      <c r="M614" s="7" t="b">
        <f t="shared" ca="1" si="36"/>
        <v>0</v>
      </c>
      <c r="N614" s="16" t="b">
        <f t="shared" ca="1" si="37"/>
        <v>0</v>
      </c>
    </row>
    <row r="615" spans="2:14" x14ac:dyDescent="0.35">
      <c r="B615" s="12" t="s">
        <v>641</v>
      </c>
      <c r="L615" s="5" t="s">
        <v>26</v>
      </c>
      <c r="M615" s="7" t="b">
        <f t="shared" ca="1" si="36"/>
        <v>0</v>
      </c>
      <c r="N615" s="16" t="b">
        <f t="shared" ca="1" si="37"/>
        <v>0</v>
      </c>
    </row>
    <row r="616" spans="2:14" x14ac:dyDescent="0.35">
      <c r="B616" s="12" t="s">
        <v>642</v>
      </c>
      <c r="L616" s="5" t="s">
        <v>25</v>
      </c>
      <c r="M616" s="7" t="b">
        <f t="shared" ca="1" si="36"/>
        <v>0</v>
      </c>
      <c r="N616" s="16" t="b">
        <f t="shared" ca="1" si="37"/>
        <v>0</v>
      </c>
    </row>
    <row r="617" spans="2:14" x14ac:dyDescent="0.35">
      <c r="B617" s="12" t="s">
        <v>643</v>
      </c>
      <c r="L617" s="5" t="s">
        <v>26</v>
      </c>
      <c r="M617" s="7" t="b">
        <f t="shared" ca="1" si="36"/>
        <v>0</v>
      </c>
      <c r="N617" s="16" t="b">
        <f t="shared" ca="1" si="37"/>
        <v>0</v>
      </c>
    </row>
    <row r="618" spans="2:14" x14ac:dyDescent="0.35">
      <c r="B618" s="12" t="s">
        <v>644</v>
      </c>
      <c r="L618" s="5" t="s">
        <v>25</v>
      </c>
      <c r="M618" s="7" t="b">
        <f t="shared" ca="1" si="36"/>
        <v>0</v>
      </c>
      <c r="N618" s="16" t="b">
        <f t="shared" ca="1" si="37"/>
        <v>0</v>
      </c>
    </row>
    <row r="619" spans="2:14" x14ac:dyDescent="0.35">
      <c r="B619" s="12" t="s">
        <v>645</v>
      </c>
      <c r="L619" s="5" t="s">
        <v>26</v>
      </c>
      <c r="M619" s="7" t="b">
        <f t="shared" ca="1" si="36"/>
        <v>0</v>
      </c>
      <c r="N619" s="16" t="b">
        <f t="shared" ca="1" si="37"/>
        <v>0</v>
      </c>
    </row>
    <row r="620" spans="2:14" x14ac:dyDescent="0.35">
      <c r="B620" s="12" t="s">
        <v>646</v>
      </c>
      <c r="L620" s="5" t="s">
        <v>25</v>
      </c>
      <c r="M620" s="7" t="b">
        <f t="shared" ca="1" si="36"/>
        <v>0</v>
      </c>
      <c r="N620" s="16" t="b">
        <f t="shared" ca="1" si="37"/>
        <v>0</v>
      </c>
    </row>
    <row r="621" spans="2:14" x14ac:dyDescent="0.35">
      <c r="B621" s="12" t="s">
        <v>647</v>
      </c>
      <c r="L621" s="5" t="s">
        <v>26</v>
      </c>
      <c r="M621" s="7" t="b">
        <f t="shared" ca="1" si="36"/>
        <v>0</v>
      </c>
      <c r="N621" s="16" t="b">
        <f t="shared" ca="1" si="37"/>
        <v>0</v>
      </c>
    </row>
    <row r="622" spans="2:14" x14ac:dyDescent="0.35">
      <c r="B622" s="12" t="s">
        <v>648</v>
      </c>
      <c r="L622" s="5" t="s">
        <v>25</v>
      </c>
      <c r="M622" s="7" t="b">
        <f t="shared" ca="1" si="36"/>
        <v>0</v>
      </c>
      <c r="N622" s="16" t="b">
        <f t="shared" ca="1" si="37"/>
        <v>0</v>
      </c>
    </row>
    <row r="623" spans="2:14" x14ac:dyDescent="0.35">
      <c r="B623" s="12" t="s">
        <v>649</v>
      </c>
      <c r="L623" s="5" t="s">
        <v>26</v>
      </c>
      <c r="M623" s="7" t="b">
        <f t="shared" ca="1" si="36"/>
        <v>0</v>
      </c>
      <c r="N623" s="16" t="b">
        <f t="shared" ca="1" si="37"/>
        <v>0</v>
      </c>
    </row>
    <row r="624" spans="2:14" x14ac:dyDescent="0.35">
      <c r="B624" s="12" t="s">
        <v>650</v>
      </c>
      <c r="L624" s="5" t="s">
        <v>25</v>
      </c>
      <c r="M624" s="7" t="b">
        <f t="shared" ca="1" si="36"/>
        <v>0</v>
      </c>
      <c r="N624" s="16" t="b">
        <f t="shared" ca="1" si="37"/>
        <v>0</v>
      </c>
    </row>
    <row r="625" spans="2:14" x14ac:dyDescent="0.35">
      <c r="B625" s="12" t="s">
        <v>651</v>
      </c>
      <c r="L625" s="5" t="s">
        <v>26</v>
      </c>
      <c r="M625" s="7" t="b">
        <f t="shared" ca="1" si="36"/>
        <v>0</v>
      </c>
      <c r="N625" s="16" t="b">
        <f t="shared" ca="1" si="37"/>
        <v>0</v>
      </c>
    </row>
    <row r="626" spans="2:14" x14ac:dyDescent="0.35">
      <c r="B626" s="12" t="s">
        <v>652</v>
      </c>
      <c r="L626" s="5" t="s">
        <v>25</v>
      </c>
      <c r="M626" s="7" t="b">
        <f t="shared" ca="1" si="36"/>
        <v>0</v>
      </c>
      <c r="N626" s="16" t="b">
        <f t="shared" ca="1" si="37"/>
        <v>0</v>
      </c>
    </row>
    <row r="627" spans="2:14" x14ac:dyDescent="0.35">
      <c r="B627" s="12" t="s">
        <v>653</v>
      </c>
      <c r="L627" s="5" t="s">
        <v>26</v>
      </c>
      <c r="M627" s="7" t="b">
        <f t="shared" ca="1" si="36"/>
        <v>0</v>
      </c>
      <c r="N627" s="16" t="b">
        <f t="shared" ca="1" si="37"/>
        <v>0</v>
      </c>
    </row>
    <row r="628" spans="2:14" x14ac:dyDescent="0.35">
      <c r="B628" s="12" t="s">
        <v>654</v>
      </c>
      <c r="L628" s="5" t="s">
        <v>25</v>
      </c>
      <c r="M628" s="7" t="b">
        <f t="shared" ca="1" si="36"/>
        <v>0</v>
      </c>
      <c r="N628" s="16" t="b">
        <f t="shared" ca="1" si="37"/>
        <v>0</v>
      </c>
    </row>
    <row r="629" spans="2:14" x14ac:dyDescent="0.35">
      <c r="B629" s="12" t="s">
        <v>655</v>
      </c>
      <c r="L629" s="5" t="s">
        <v>26</v>
      </c>
      <c r="M629" s="7" t="b">
        <f t="shared" ca="1" si="36"/>
        <v>0</v>
      </c>
      <c r="N629" s="16" t="b">
        <f t="shared" ca="1" si="37"/>
        <v>0</v>
      </c>
    </row>
    <row r="630" spans="2:14" x14ac:dyDescent="0.35">
      <c r="B630" s="12" t="s">
        <v>656</v>
      </c>
      <c r="L630" s="5" t="s">
        <v>25</v>
      </c>
      <c r="M630" s="7" t="b">
        <f t="shared" ca="1" si="36"/>
        <v>0</v>
      </c>
      <c r="N630" s="16" t="b">
        <f t="shared" ca="1" si="37"/>
        <v>0</v>
      </c>
    </row>
    <row r="631" spans="2:14" x14ac:dyDescent="0.35">
      <c r="B631" s="12" t="s">
        <v>657</v>
      </c>
      <c r="L631" s="5" t="s">
        <v>26</v>
      </c>
      <c r="M631" s="7" t="b">
        <f t="shared" ca="1" si="36"/>
        <v>0</v>
      </c>
      <c r="N631" s="16" t="b">
        <f t="shared" ca="1" si="37"/>
        <v>0</v>
      </c>
    </row>
    <row r="632" spans="2:14" x14ac:dyDescent="0.35">
      <c r="B632" s="12" t="s">
        <v>658</v>
      </c>
      <c r="L632" s="5" t="s">
        <v>25</v>
      </c>
      <c r="M632" s="7" t="b">
        <f t="shared" ca="1" si="36"/>
        <v>0</v>
      </c>
      <c r="N632" s="16" t="b">
        <f t="shared" ca="1" si="37"/>
        <v>0</v>
      </c>
    </row>
    <row r="633" spans="2:14" x14ac:dyDescent="0.35">
      <c r="B633" s="12" t="s">
        <v>659</v>
      </c>
      <c r="L633" s="5" t="s">
        <v>26</v>
      </c>
      <c r="M633" s="7" t="b">
        <f t="shared" ca="1" si="36"/>
        <v>0</v>
      </c>
      <c r="N633" s="16" t="b">
        <f t="shared" ca="1" si="37"/>
        <v>0</v>
      </c>
    </row>
    <row r="634" spans="2:14" x14ac:dyDescent="0.35">
      <c r="B634" s="12" t="s">
        <v>660</v>
      </c>
      <c r="L634" s="5" t="s">
        <v>25</v>
      </c>
      <c r="M634" s="7" t="b">
        <f t="shared" ca="1" si="36"/>
        <v>0</v>
      </c>
      <c r="N634" s="16" t="b">
        <f t="shared" ca="1" si="37"/>
        <v>0</v>
      </c>
    </row>
    <row r="635" spans="2:14" x14ac:dyDescent="0.35">
      <c r="B635" s="12" t="s">
        <v>661</v>
      </c>
      <c r="L635" s="5" t="s">
        <v>26</v>
      </c>
      <c r="M635" s="7" t="b">
        <f t="shared" ca="1" si="36"/>
        <v>0</v>
      </c>
      <c r="N635" s="16" t="b">
        <f t="shared" ca="1" si="37"/>
        <v>0</v>
      </c>
    </row>
    <row r="636" spans="2:14" x14ac:dyDescent="0.35">
      <c r="B636" s="12" t="s">
        <v>662</v>
      </c>
      <c r="L636" s="5" t="s">
        <v>25</v>
      </c>
      <c r="M636" s="7" t="b">
        <f t="shared" ca="1" si="36"/>
        <v>0</v>
      </c>
      <c r="N636" s="16" t="b">
        <f t="shared" ca="1" si="37"/>
        <v>0</v>
      </c>
    </row>
    <row r="637" spans="2:14" x14ac:dyDescent="0.35">
      <c r="B637" s="12" t="s">
        <v>663</v>
      </c>
      <c r="L637" s="5" t="s">
        <v>26</v>
      </c>
      <c r="M637" s="7" t="b">
        <f t="shared" ca="1" si="36"/>
        <v>0</v>
      </c>
      <c r="N637" s="16" t="b">
        <f t="shared" ca="1" si="37"/>
        <v>0</v>
      </c>
    </row>
    <row r="638" spans="2:14" x14ac:dyDescent="0.35">
      <c r="B638" s="12" t="s">
        <v>664</v>
      </c>
      <c r="L638" s="5" t="s">
        <v>25</v>
      </c>
      <c r="M638" s="7" t="b">
        <f t="shared" ca="1" si="36"/>
        <v>0</v>
      </c>
      <c r="N638" s="16" t="b">
        <f t="shared" ca="1" si="37"/>
        <v>0</v>
      </c>
    </row>
    <row r="639" spans="2:14" x14ac:dyDescent="0.35">
      <c r="B639" s="12" t="s">
        <v>665</v>
      </c>
      <c r="L639" s="5" t="s">
        <v>26</v>
      </c>
      <c r="M639" s="7" t="b">
        <f t="shared" ca="1" si="36"/>
        <v>0</v>
      </c>
      <c r="N639" s="16" t="b">
        <f t="shared" ca="1" si="37"/>
        <v>0</v>
      </c>
    </row>
    <row r="640" spans="2:14" x14ac:dyDescent="0.35">
      <c r="B640" s="12" t="s">
        <v>666</v>
      </c>
      <c r="L640" s="5" t="s">
        <v>25</v>
      </c>
      <c r="M640" s="7" t="b">
        <f t="shared" ca="1" si="36"/>
        <v>0</v>
      </c>
      <c r="N640" s="16" t="b">
        <f t="shared" ca="1" si="37"/>
        <v>0</v>
      </c>
    </row>
    <row r="641" spans="2:14" x14ac:dyDescent="0.35">
      <c r="B641" s="12" t="s">
        <v>667</v>
      </c>
      <c r="L641" s="5" t="s">
        <v>26</v>
      </c>
      <c r="M641" s="7" t="b">
        <f t="shared" ca="1" si="36"/>
        <v>0</v>
      </c>
      <c r="N641" s="16" t="b">
        <f t="shared" ca="1" si="37"/>
        <v>0</v>
      </c>
    </row>
    <row r="642" spans="2:14" x14ac:dyDescent="0.35">
      <c r="B642" s="12" t="s">
        <v>668</v>
      </c>
      <c r="L642" s="5" t="s">
        <v>25</v>
      </c>
      <c r="M642" s="7" t="b">
        <f t="shared" ca="1" si="36"/>
        <v>0</v>
      </c>
      <c r="N642" s="16" t="b">
        <f t="shared" ca="1" si="37"/>
        <v>0</v>
      </c>
    </row>
    <row r="643" spans="2:14" x14ac:dyDescent="0.35">
      <c r="B643" s="12" t="s">
        <v>669</v>
      </c>
      <c r="L643" s="5" t="s">
        <v>26</v>
      </c>
      <c r="M643" s="7" t="b">
        <f t="shared" ref="M643:M706" ca="1" si="38">AND(A643&gt;=(TODAY()-28),A643&lt;TODAY())</f>
        <v>0</v>
      </c>
      <c r="N643" s="16" t="b">
        <f t="shared" ref="N643:N706" ca="1" si="39">AND(A643&gt;=(TODAY()-56),A643&lt;(TODAY()-28))</f>
        <v>0</v>
      </c>
    </row>
    <row r="644" spans="2:14" x14ac:dyDescent="0.35">
      <c r="B644" s="12" t="s">
        <v>670</v>
      </c>
      <c r="L644" s="5" t="s">
        <v>25</v>
      </c>
      <c r="M644" s="7" t="b">
        <f t="shared" ca="1" si="38"/>
        <v>0</v>
      </c>
      <c r="N644" s="16" t="b">
        <f t="shared" ca="1" si="39"/>
        <v>0</v>
      </c>
    </row>
    <row r="645" spans="2:14" x14ac:dyDescent="0.35">
      <c r="B645" s="12" t="s">
        <v>671</v>
      </c>
      <c r="L645" s="5" t="s">
        <v>26</v>
      </c>
      <c r="M645" s="7" t="b">
        <f t="shared" ca="1" si="38"/>
        <v>0</v>
      </c>
      <c r="N645" s="16" t="b">
        <f t="shared" ca="1" si="39"/>
        <v>0</v>
      </c>
    </row>
    <row r="646" spans="2:14" x14ac:dyDescent="0.35">
      <c r="B646" s="12" t="s">
        <v>672</v>
      </c>
      <c r="L646" s="5" t="s">
        <v>25</v>
      </c>
      <c r="M646" s="7" t="b">
        <f t="shared" ca="1" si="38"/>
        <v>0</v>
      </c>
      <c r="N646" s="16" t="b">
        <f t="shared" ca="1" si="39"/>
        <v>0</v>
      </c>
    </row>
    <row r="647" spans="2:14" x14ac:dyDescent="0.35">
      <c r="B647" s="12" t="s">
        <v>673</v>
      </c>
      <c r="L647" s="5" t="s">
        <v>26</v>
      </c>
      <c r="M647" s="7" t="b">
        <f t="shared" ca="1" si="38"/>
        <v>0</v>
      </c>
      <c r="N647" s="16" t="b">
        <f t="shared" ca="1" si="39"/>
        <v>0</v>
      </c>
    </row>
    <row r="648" spans="2:14" x14ac:dyDescent="0.35">
      <c r="B648" s="12" t="s">
        <v>674</v>
      </c>
      <c r="L648" s="5" t="s">
        <v>25</v>
      </c>
      <c r="M648" s="7" t="b">
        <f t="shared" ca="1" si="38"/>
        <v>0</v>
      </c>
      <c r="N648" s="16" t="b">
        <f t="shared" ca="1" si="39"/>
        <v>0</v>
      </c>
    </row>
    <row r="649" spans="2:14" x14ac:dyDescent="0.35">
      <c r="B649" s="12" t="s">
        <v>675</v>
      </c>
      <c r="L649" s="5" t="s">
        <v>26</v>
      </c>
      <c r="M649" s="7" t="b">
        <f t="shared" ca="1" si="38"/>
        <v>0</v>
      </c>
      <c r="N649" s="16" t="b">
        <f t="shared" ca="1" si="39"/>
        <v>0</v>
      </c>
    </row>
    <row r="650" spans="2:14" x14ac:dyDescent="0.35">
      <c r="B650" s="12" t="s">
        <v>676</v>
      </c>
      <c r="L650" s="5" t="s">
        <v>25</v>
      </c>
      <c r="M650" s="7" t="b">
        <f t="shared" ca="1" si="38"/>
        <v>0</v>
      </c>
      <c r="N650" s="16" t="b">
        <f t="shared" ca="1" si="39"/>
        <v>0</v>
      </c>
    </row>
    <row r="651" spans="2:14" x14ac:dyDescent="0.35">
      <c r="B651" s="12" t="s">
        <v>677</v>
      </c>
      <c r="L651" s="5" t="s">
        <v>26</v>
      </c>
      <c r="M651" s="7" t="b">
        <f t="shared" ca="1" si="38"/>
        <v>0</v>
      </c>
      <c r="N651" s="16" t="b">
        <f t="shared" ca="1" si="39"/>
        <v>0</v>
      </c>
    </row>
    <row r="652" spans="2:14" x14ac:dyDescent="0.35">
      <c r="B652" s="12" t="s">
        <v>678</v>
      </c>
      <c r="L652" s="5" t="s">
        <v>25</v>
      </c>
      <c r="M652" s="7" t="b">
        <f t="shared" ca="1" si="38"/>
        <v>0</v>
      </c>
      <c r="N652" s="16" t="b">
        <f t="shared" ca="1" si="39"/>
        <v>0</v>
      </c>
    </row>
    <row r="653" spans="2:14" x14ac:dyDescent="0.35">
      <c r="B653" s="12" t="s">
        <v>679</v>
      </c>
      <c r="L653" s="5" t="s">
        <v>26</v>
      </c>
      <c r="M653" s="7" t="b">
        <f t="shared" ca="1" si="38"/>
        <v>0</v>
      </c>
      <c r="N653" s="16" t="b">
        <f t="shared" ca="1" si="39"/>
        <v>0</v>
      </c>
    </row>
    <row r="654" spans="2:14" x14ac:dyDescent="0.35">
      <c r="B654" s="12" t="s">
        <v>680</v>
      </c>
      <c r="L654" s="5" t="s">
        <v>25</v>
      </c>
      <c r="M654" s="7" t="b">
        <f t="shared" ca="1" si="38"/>
        <v>0</v>
      </c>
      <c r="N654" s="16" t="b">
        <f t="shared" ca="1" si="39"/>
        <v>0</v>
      </c>
    </row>
    <row r="655" spans="2:14" x14ac:dyDescent="0.35">
      <c r="B655" s="12" t="s">
        <v>681</v>
      </c>
      <c r="L655" s="5" t="s">
        <v>26</v>
      </c>
      <c r="M655" s="7" t="b">
        <f t="shared" ca="1" si="38"/>
        <v>0</v>
      </c>
      <c r="N655" s="16" t="b">
        <f t="shared" ca="1" si="39"/>
        <v>0</v>
      </c>
    </row>
    <row r="656" spans="2:14" x14ac:dyDescent="0.35">
      <c r="B656" s="12" t="s">
        <v>682</v>
      </c>
      <c r="L656" s="5" t="s">
        <v>25</v>
      </c>
      <c r="M656" s="7" t="b">
        <f t="shared" ca="1" si="38"/>
        <v>0</v>
      </c>
      <c r="N656" s="16" t="b">
        <f t="shared" ca="1" si="39"/>
        <v>0</v>
      </c>
    </row>
    <row r="657" spans="2:14" x14ac:dyDescent="0.35">
      <c r="B657" s="12" t="s">
        <v>683</v>
      </c>
      <c r="L657" s="5" t="s">
        <v>26</v>
      </c>
      <c r="M657" s="7" t="b">
        <f t="shared" ca="1" si="38"/>
        <v>0</v>
      </c>
      <c r="N657" s="16" t="b">
        <f t="shared" ca="1" si="39"/>
        <v>0</v>
      </c>
    </row>
    <row r="658" spans="2:14" x14ac:dyDescent="0.35">
      <c r="B658" s="12" t="s">
        <v>684</v>
      </c>
      <c r="L658" s="5" t="s">
        <v>25</v>
      </c>
      <c r="M658" s="7" t="b">
        <f t="shared" ca="1" si="38"/>
        <v>0</v>
      </c>
      <c r="N658" s="16" t="b">
        <f t="shared" ca="1" si="39"/>
        <v>0</v>
      </c>
    </row>
    <row r="659" spans="2:14" x14ac:dyDescent="0.35">
      <c r="B659" s="12" t="s">
        <v>685</v>
      </c>
      <c r="L659" s="5" t="s">
        <v>26</v>
      </c>
      <c r="M659" s="7" t="b">
        <f t="shared" ca="1" si="38"/>
        <v>0</v>
      </c>
      <c r="N659" s="16" t="b">
        <f t="shared" ca="1" si="39"/>
        <v>0</v>
      </c>
    </row>
    <row r="660" spans="2:14" x14ac:dyDescent="0.35">
      <c r="B660" s="12" t="s">
        <v>686</v>
      </c>
      <c r="L660" s="5" t="s">
        <v>25</v>
      </c>
      <c r="M660" s="7" t="b">
        <f t="shared" ca="1" si="38"/>
        <v>0</v>
      </c>
      <c r="N660" s="16" t="b">
        <f t="shared" ca="1" si="39"/>
        <v>0</v>
      </c>
    </row>
    <row r="661" spans="2:14" x14ac:dyDescent="0.35">
      <c r="B661" s="12" t="s">
        <v>687</v>
      </c>
      <c r="L661" s="5" t="s">
        <v>26</v>
      </c>
      <c r="M661" s="7" t="b">
        <f t="shared" ca="1" si="38"/>
        <v>0</v>
      </c>
      <c r="N661" s="16" t="b">
        <f t="shared" ca="1" si="39"/>
        <v>0</v>
      </c>
    </row>
    <row r="662" spans="2:14" x14ac:dyDescent="0.35">
      <c r="B662" s="12" t="s">
        <v>688</v>
      </c>
      <c r="L662" s="5" t="s">
        <v>25</v>
      </c>
      <c r="M662" s="7" t="b">
        <f t="shared" ca="1" si="38"/>
        <v>0</v>
      </c>
      <c r="N662" s="16" t="b">
        <f t="shared" ca="1" si="39"/>
        <v>0</v>
      </c>
    </row>
    <row r="663" spans="2:14" x14ac:dyDescent="0.35">
      <c r="B663" s="12" t="s">
        <v>689</v>
      </c>
      <c r="L663" s="5" t="s">
        <v>26</v>
      </c>
      <c r="M663" s="7" t="b">
        <f t="shared" ca="1" si="38"/>
        <v>0</v>
      </c>
      <c r="N663" s="16" t="b">
        <f t="shared" ca="1" si="39"/>
        <v>0</v>
      </c>
    </row>
    <row r="664" spans="2:14" x14ac:dyDescent="0.35">
      <c r="B664" s="12" t="s">
        <v>690</v>
      </c>
      <c r="L664" s="5" t="s">
        <v>25</v>
      </c>
      <c r="M664" s="7" t="b">
        <f t="shared" ca="1" si="38"/>
        <v>0</v>
      </c>
      <c r="N664" s="16" t="b">
        <f t="shared" ca="1" si="39"/>
        <v>0</v>
      </c>
    </row>
    <row r="665" spans="2:14" x14ac:dyDescent="0.35">
      <c r="B665" s="12" t="s">
        <v>691</v>
      </c>
      <c r="L665" s="5" t="s">
        <v>26</v>
      </c>
      <c r="M665" s="7" t="b">
        <f t="shared" ca="1" si="38"/>
        <v>0</v>
      </c>
      <c r="N665" s="16" t="b">
        <f t="shared" ca="1" si="39"/>
        <v>0</v>
      </c>
    </row>
    <row r="666" spans="2:14" x14ac:dyDescent="0.35">
      <c r="B666" s="12" t="s">
        <v>692</v>
      </c>
      <c r="L666" s="5" t="s">
        <v>25</v>
      </c>
      <c r="M666" s="7" t="b">
        <f t="shared" ca="1" si="38"/>
        <v>0</v>
      </c>
      <c r="N666" s="16" t="b">
        <f t="shared" ca="1" si="39"/>
        <v>0</v>
      </c>
    </row>
    <row r="667" spans="2:14" x14ac:dyDescent="0.35">
      <c r="B667" s="12" t="s">
        <v>693</v>
      </c>
      <c r="L667" s="5" t="s">
        <v>26</v>
      </c>
      <c r="M667" s="7" t="b">
        <f t="shared" ca="1" si="38"/>
        <v>0</v>
      </c>
      <c r="N667" s="16" t="b">
        <f t="shared" ca="1" si="39"/>
        <v>0</v>
      </c>
    </row>
    <row r="668" spans="2:14" x14ac:dyDescent="0.35">
      <c r="B668" s="12" t="s">
        <v>694</v>
      </c>
      <c r="L668" s="5" t="s">
        <v>25</v>
      </c>
      <c r="M668" s="7" t="b">
        <f t="shared" ca="1" si="38"/>
        <v>0</v>
      </c>
      <c r="N668" s="16" t="b">
        <f t="shared" ca="1" si="39"/>
        <v>0</v>
      </c>
    </row>
    <row r="669" spans="2:14" x14ac:dyDescent="0.35">
      <c r="B669" s="12" t="s">
        <v>695</v>
      </c>
      <c r="L669" s="5" t="s">
        <v>26</v>
      </c>
      <c r="M669" s="7" t="b">
        <f t="shared" ca="1" si="38"/>
        <v>0</v>
      </c>
      <c r="N669" s="16" t="b">
        <f t="shared" ca="1" si="39"/>
        <v>0</v>
      </c>
    </row>
    <row r="670" spans="2:14" x14ac:dyDescent="0.35">
      <c r="B670" s="12" t="s">
        <v>696</v>
      </c>
      <c r="L670" s="5" t="s">
        <v>25</v>
      </c>
      <c r="M670" s="7" t="b">
        <f t="shared" ca="1" si="38"/>
        <v>0</v>
      </c>
      <c r="N670" s="16" t="b">
        <f t="shared" ca="1" si="39"/>
        <v>0</v>
      </c>
    </row>
    <row r="671" spans="2:14" x14ac:dyDescent="0.35">
      <c r="B671" s="12" t="s">
        <v>697</v>
      </c>
      <c r="L671" s="5" t="s">
        <v>26</v>
      </c>
      <c r="M671" s="7" t="b">
        <f t="shared" ca="1" si="38"/>
        <v>0</v>
      </c>
      <c r="N671" s="16" t="b">
        <f t="shared" ca="1" si="39"/>
        <v>0</v>
      </c>
    </row>
    <row r="672" spans="2:14" x14ac:dyDescent="0.35">
      <c r="B672" s="12" t="s">
        <v>698</v>
      </c>
      <c r="L672" s="5" t="s">
        <v>25</v>
      </c>
      <c r="M672" s="7" t="b">
        <f t="shared" ca="1" si="38"/>
        <v>0</v>
      </c>
      <c r="N672" s="16" t="b">
        <f t="shared" ca="1" si="39"/>
        <v>0</v>
      </c>
    </row>
    <row r="673" spans="2:14" x14ac:dyDescent="0.35">
      <c r="B673" s="12" t="s">
        <v>699</v>
      </c>
      <c r="L673" s="5" t="s">
        <v>26</v>
      </c>
      <c r="M673" s="7" t="b">
        <f t="shared" ca="1" si="38"/>
        <v>0</v>
      </c>
      <c r="N673" s="16" t="b">
        <f t="shared" ca="1" si="39"/>
        <v>0</v>
      </c>
    </row>
    <row r="674" spans="2:14" x14ac:dyDescent="0.35">
      <c r="B674" s="12" t="s">
        <v>700</v>
      </c>
      <c r="L674" s="5" t="s">
        <v>25</v>
      </c>
      <c r="M674" s="7" t="b">
        <f t="shared" ca="1" si="38"/>
        <v>0</v>
      </c>
      <c r="N674" s="16" t="b">
        <f t="shared" ca="1" si="39"/>
        <v>0</v>
      </c>
    </row>
    <row r="675" spans="2:14" x14ac:dyDescent="0.35">
      <c r="B675" s="12" t="s">
        <v>701</v>
      </c>
      <c r="L675" s="5" t="s">
        <v>26</v>
      </c>
      <c r="M675" s="7" t="b">
        <f t="shared" ca="1" si="38"/>
        <v>0</v>
      </c>
      <c r="N675" s="16" t="b">
        <f t="shared" ca="1" si="39"/>
        <v>0</v>
      </c>
    </row>
    <row r="676" spans="2:14" x14ac:dyDescent="0.35">
      <c r="B676" s="12" t="s">
        <v>702</v>
      </c>
      <c r="L676" s="5" t="s">
        <v>25</v>
      </c>
      <c r="M676" s="7" t="b">
        <f t="shared" ca="1" si="38"/>
        <v>0</v>
      </c>
      <c r="N676" s="16" t="b">
        <f t="shared" ca="1" si="39"/>
        <v>0</v>
      </c>
    </row>
    <row r="677" spans="2:14" x14ac:dyDescent="0.35">
      <c r="B677" s="12" t="s">
        <v>703</v>
      </c>
      <c r="L677" s="5" t="s">
        <v>26</v>
      </c>
      <c r="M677" s="7" t="b">
        <f t="shared" ca="1" si="38"/>
        <v>0</v>
      </c>
      <c r="N677" s="16" t="b">
        <f t="shared" ca="1" si="39"/>
        <v>0</v>
      </c>
    </row>
    <row r="678" spans="2:14" x14ac:dyDescent="0.35">
      <c r="B678" s="12" t="s">
        <v>704</v>
      </c>
      <c r="L678" s="5" t="s">
        <v>25</v>
      </c>
      <c r="M678" s="7" t="b">
        <f t="shared" ca="1" si="38"/>
        <v>0</v>
      </c>
      <c r="N678" s="16" t="b">
        <f t="shared" ca="1" si="39"/>
        <v>0</v>
      </c>
    </row>
    <row r="679" spans="2:14" x14ac:dyDescent="0.35">
      <c r="B679" s="12" t="s">
        <v>705</v>
      </c>
      <c r="L679" s="5" t="s">
        <v>26</v>
      </c>
      <c r="M679" s="7" t="b">
        <f t="shared" ca="1" si="38"/>
        <v>0</v>
      </c>
      <c r="N679" s="16" t="b">
        <f t="shared" ca="1" si="39"/>
        <v>0</v>
      </c>
    </row>
    <row r="680" spans="2:14" x14ac:dyDescent="0.35">
      <c r="B680" s="12" t="s">
        <v>706</v>
      </c>
      <c r="L680" s="5" t="s">
        <v>25</v>
      </c>
      <c r="M680" s="7" t="b">
        <f t="shared" ca="1" si="38"/>
        <v>0</v>
      </c>
      <c r="N680" s="16" t="b">
        <f t="shared" ca="1" si="39"/>
        <v>0</v>
      </c>
    </row>
    <row r="681" spans="2:14" x14ac:dyDescent="0.35">
      <c r="B681" s="12" t="s">
        <v>707</v>
      </c>
      <c r="L681" s="5" t="s">
        <v>26</v>
      </c>
      <c r="M681" s="7" t="b">
        <f t="shared" ca="1" si="38"/>
        <v>0</v>
      </c>
      <c r="N681" s="16" t="b">
        <f t="shared" ca="1" si="39"/>
        <v>0</v>
      </c>
    </row>
    <row r="682" spans="2:14" x14ac:dyDescent="0.35">
      <c r="B682" s="12" t="s">
        <v>708</v>
      </c>
      <c r="L682" s="5" t="s">
        <v>25</v>
      </c>
      <c r="M682" s="7" t="b">
        <f t="shared" ca="1" si="38"/>
        <v>0</v>
      </c>
      <c r="N682" s="16" t="b">
        <f t="shared" ca="1" si="39"/>
        <v>0</v>
      </c>
    </row>
    <row r="683" spans="2:14" x14ac:dyDescent="0.35">
      <c r="B683" s="12" t="s">
        <v>709</v>
      </c>
      <c r="L683" s="5" t="s">
        <v>26</v>
      </c>
      <c r="M683" s="7" t="b">
        <f t="shared" ca="1" si="38"/>
        <v>0</v>
      </c>
      <c r="N683" s="16" t="b">
        <f t="shared" ca="1" si="39"/>
        <v>0</v>
      </c>
    </row>
    <row r="684" spans="2:14" x14ac:dyDescent="0.35">
      <c r="B684" s="12" t="s">
        <v>710</v>
      </c>
      <c r="L684" s="5" t="s">
        <v>25</v>
      </c>
      <c r="M684" s="7" t="b">
        <f t="shared" ca="1" si="38"/>
        <v>0</v>
      </c>
      <c r="N684" s="16" t="b">
        <f t="shared" ca="1" si="39"/>
        <v>0</v>
      </c>
    </row>
    <row r="685" spans="2:14" x14ac:dyDescent="0.35">
      <c r="B685" s="12" t="s">
        <v>711</v>
      </c>
      <c r="L685" s="5" t="s">
        <v>26</v>
      </c>
      <c r="M685" s="7" t="b">
        <f t="shared" ca="1" si="38"/>
        <v>0</v>
      </c>
      <c r="N685" s="16" t="b">
        <f t="shared" ca="1" si="39"/>
        <v>0</v>
      </c>
    </row>
    <row r="686" spans="2:14" x14ac:dyDescent="0.35">
      <c r="B686" s="12" t="s">
        <v>712</v>
      </c>
      <c r="L686" s="5" t="s">
        <v>25</v>
      </c>
      <c r="M686" s="7" t="b">
        <f t="shared" ca="1" si="38"/>
        <v>0</v>
      </c>
      <c r="N686" s="16" t="b">
        <f t="shared" ca="1" si="39"/>
        <v>0</v>
      </c>
    </row>
    <row r="687" spans="2:14" x14ac:dyDescent="0.35">
      <c r="B687" s="12" t="s">
        <v>713</v>
      </c>
      <c r="L687" s="5" t="s">
        <v>26</v>
      </c>
      <c r="M687" s="7" t="b">
        <f t="shared" ca="1" si="38"/>
        <v>0</v>
      </c>
      <c r="N687" s="16" t="b">
        <f t="shared" ca="1" si="39"/>
        <v>0</v>
      </c>
    </row>
    <row r="688" spans="2:14" x14ac:dyDescent="0.35">
      <c r="B688" s="12" t="s">
        <v>714</v>
      </c>
      <c r="L688" s="5" t="s">
        <v>25</v>
      </c>
      <c r="M688" s="7" t="b">
        <f t="shared" ca="1" si="38"/>
        <v>0</v>
      </c>
      <c r="N688" s="16" t="b">
        <f t="shared" ca="1" si="39"/>
        <v>0</v>
      </c>
    </row>
    <row r="689" spans="2:14" x14ac:dyDescent="0.35">
      <c r="B689" s="12" t="s">
        <v>715</v>
      </c>
      <c r="L689" s="5" t="s">
        <v>26</v>
      </c>
      <c r="M689" s="7" t="b">
        <f t="shared" ca="1" si="38"/>
        <v>0</v>
      </c>
      <c r="N689" s="16" t="b">
        <f t="shared" ca="1" si="39"/>
        <v>0</v>
      </c>
    </row>
    <row r="690" spans="2:14" x14ac:dyDescent="0.35">
      <c r="B690" s="12" t="s">
        <v>716</v>
      </c>
      <c r="L690" s="5" t="s">
        <v>25</v>
      </c>
      <c r="M690" s="7" t="b">
        <f t="shared" ca="1" si="38"/>
        <v>0</v>
      </c>
      <c r="N690" s="16" t="b">
        <f t="shared" ca="1" si="39"/>
        <v>0</v>
      </c>
    </row>
    <row r="691" spans="2:14" x14ac:dyDescent="0.35">
      <c r="B691" s="12" t="s">
        <v>717</v>
      </c>
      <c r="L691" s="5" t="s">
        <v>26</v>
      </c>
      <c r="M691" s="7" t="b">
        <f t="shared" ca="1" si="38"/>
        <v>0</v>
      </c>
      <c r="N691" s="16" t="b">
        <f t="shared" ca="1" si="39"/>
        <v>0</v>
      </c>
    </row>
    <row r="692" spans="2:14" x14ac:dyDescent="0.35">
      <c r="B692" s="12" t="s">
        <v>718</v>
      </c>
      <c r="L692" s="5" t="s">
        <v>25</v>
      </c>
      <c r="M692" s="7" t="b">
        <f t="shared" ca="1" si="38"/>
        <v>0</v>
      </c>
      <c r="N692" s="16" t="b">
        <f t="shared" ca="1" si="39"/>
        <v>0</v>
      </c>
    </row>
    <row r="693" spans="2:14" x14ac:dyDescent="0.35">
      <c r="B693" s="12" t="s">
        <v>719</v>
      </c>
      <c r="L693" s="5" t="s">
        <v>26</v>
      </c>
      <c r="M693" s="7" t="b">
        <f t="shared" ca="1" si="38"/>
        <v>0</v>
      </c>
      <c r="N693" s="16" t="b">
        <f t="shared" ca="1" si="39"/>
        <v>0</v>
      </c>
    </row>
    <row r="694" spans="2:14" x14ac:dyDescent="0.35">
      <c r="B694" s="12" t="s">
        <v>720</v>
      </c>
      <c r="L694" s="5" t="s">
        <v>25</v>
      </c>
      <c r="M694" s="7" t="b">
        <f t="shared" ca="1" si="38"/>
        <v>0</v>
      </c>
      <c r="N694" s="16" t="b">
        <f t="shared" ca="1" si="39"/>
        <v>0</v>
      </c>
    </row>
    <row r="695" spans="2:14" x14ac:dyDescent="0.35">
      <c r="B695" s="12" t="s">
        <v>721</v>
      </c>
      <c r="L695" s="5" t="s">
        <v>26</v>
      </c>
      <c r="M695" s="7" t="b">
        <f t="shared" ca="1" si="38"/>
        <v>0</v>
      </c>
      <c r="N695" s="16" t="b">
        <f t="shared" ca="1" si="39"/>
        <v>0</v>
      </c>
    </row>
    <row r="696" spans="2:14" x14ac:dyDescent="0.35">
      <c r="B696" s="12" t="s">
        <v>722</v>
      </c>
      <c r="L696" s="5" t="s">
        <v>25</v>
      </c>
      <c r="M696" s="7" t="b">
        <f t="shared" ca="1" si="38"/>
        <v>0</v>
      </c>
      <c r="N696" s="16" t="b">
        <f t="shared" ca="1" si="39"/>
        <v>0</v>
      </c>
    </row>
    <row r="697" spans="2:14" x14ac:dyDescent="0.35">
      <c r="B697" s="12" t="s">
        <v>723</v>
      </c>
      <c r="L697" s="5" t="s">
        <v>26</v>
      </c>
      <c r="M697" s="7" t="b">
        <f t="shared" ca="1" si="38"/>
        <v>0</v>
      </c>
      <c r="N697" s="16" t="b">
        <f t="shared" ca="1" si="39"/>
        <v>0</v>
      </c>
    </row>
    <row r="698" spans="2:14" x14ac:dyDescent="0.35">
      <c r="B698" s="12" t="s">
        <v>724</v>
      </c>
      <c r="L698" s="5" t="s">
        <v>25</v>
      </c>
      <c r="M698" s="7" t="b">
        <f t="shared" ca="1" si="38"/>
        <v>0</v>
      </c>
      <c r="N698" s="16" t="b">
        <f t="shared" ca="1" si="39"/>
        <v>0</v>
      </c>
    </row>
    <row r="699" spans="2:14" x14ac:dyDescent="0.35">
      <c r="B699" s="12" t="s">
        <v>725</v>
      </c>
      <c r="L699" s="5" t="s">
        <v>26</v>
      </c>
      <c r="M699" s="7" t="b">
        <f t="shared" ca="1" si="38"/>
        <v>0</v>
      </c>
      <c r="N699" s="16" t="b">
        <f t="shared" ca="1" si="39"/>
        <v>0</v>
      </c>
    </row>
    <row r="700" spans="2:14" x14ac:dyDescent="0.35">
      <c r="B700" s="12" t="s">
        <v>726</v>
      </c>
      <c r="L700" s="5" t="s">
        <v>25</v>
      </c>
      <c r="M700" s="7" t="b">
        <f t="shared" ca="1" si="38"/>
        <v>0</v>
      </c>
      <c r="N700" s="16" t="b">
        <f t="shared" ca="1" si="39"/>
        <v>0</v>
      </c>
    </row>
    <row r="701" spans="2:14" x14ac:dyDescent="0.35">
      <c r="B701" s="12" t="s">
        <v>727</v>
      </c>
      <c r="L701" s="5" t="s">
        <v>26</v>
      </c>
      <c r="M701" s="7" t="b">
        <f t="shared" ca="1" si="38"/>
        <v>0</v>
      </c>
      <c r="N701" s="16" t="b">
        <f t="shared" ca="1" si="39"/>
        <v>0</v>
      </c>
    </row>
    <row r="702" spans="2:14" x14ac:dyDescent="0.35">
      <c r="B702" s="12" t="s">
        <v>728</v>
      </c>
      <c r="L702" s="5" t="s">
        <v>25</v>
      </c>
      <c r="M702" s="7" t="b">
        <f t="shared" ca="1" si="38"/>
        <v>0</v>
      </c>
      <c r="N702" s="16" t="b">
        <f t="shared" ca="1" si="39"/>
        <v>0</v>
      </c>
    </row>
    <row r="703" spans="2:14" x14ac:dyDescent="0.35">
      <c r="B703" s="12" t="s">
        <v>729</v>
      </c>
      <c r="L703" s="5" t="s">
        <v>26</v>
      </c>
      <c r="M703" s="7" t="b">
        <f t="shared" ca="1" si="38"/>
        <v>0</v>
      </c>
      <c r="N703" s="16" t="b">
        <f t="shared" ca="1" si="39"/>
        <v>0</v>
      </c>
    </row>
    <row r="704" spans="2:14" x14ac:dyDescent="0.35">
      <c r="B704" s="12" t="s">
        <v>730</v>
      </c>
      <c r="L704" s="5" t="s">
        <v>25</v>
      </c>
      <c r="M704" s="7" t="b">
        <f t="shared" ca="1" si="38"/>
        <v>0</v>
      </c>
      <c r="N704" s="16" t="b">
        <f t="shared" ca="1" si="39"/>
        <v>0</v>
      </c>
    </row>
    <row r="705" spans="2:14" x14ac:dyDescent="0.35">
      <c r="B705" s="12" t="s">
        <v>731</v>
      </c>
      <c r="L705" s="5" t="s">
        <v>26</v>
      </c>
      <c r="M705" s="7" t="b">
        <f t="shared" ca="1" si="38"/>
        <v>0</v>
      </c>
      <c r="N705" s="16" t="b">
        <f t="shared" ca="1" si="39"/>
        <v>0</v>
      </c>
    </row>
    <row r="706" spans="2:14" x14ac:dyDescent="0.35">
      <c r="B706" s="12" t="s">
        <v>732</v>
      </c>
      <c r="L706" s="5" t="s">
        <v>25</v>
      </c>
      <c r="M706" s="7" t="b">
        <f t="shared" ca="1" si="38"/>
        <v>0</v>
      </c>
      <c r="N706" s="16" t="b">
        <f t="shared" ca="1" si="39"/>
        <v>0</v>
      </c>
    </row>
    <row r="707" spans="2:14" x14ac:dyDescent="0.35">
      <c r="B707" s="12" t="s">
        <v>733</v>
      </c>
      <c r="L707" s="5" t="s">
        <v>26</v>
      </c>
      <c r="M707" s="7" t="b">
        <f t="shared" ref="M707:M770" ca="1" si="40">AND(A707&gt;=(TODAY()-28),A707&lt;TODAY())</f>
        <v>0</v>
      </c>
      <c r="N707" s="16" t="b">
        <f t="shared" ref="N707:N770" ca="1" si="41">AND(A707&gt;=(TODAY()-56),A707&lt;(TODAY()-28))</f>
        <v>0</v>
      </c>
    </row>
    <row r="708" spans="2:14" x14ac:dyDescent="0.35">
      <c r="B708" s="12" t="s">
        <v>734</v>
      </c>
      <c r="L708" s="5" t="s">
        <v>25</v>
      </c>
      <c r="M708" s="7" t="b">
        <f t="shared" ca="1" si="40"/>
        <v>0</v>
      </c>
      <c r="N708" s="16" t="b">
        <f t="shared" ca="1" si="41"/>
        <v>0</v>
      </c>
    </row>
    <row r="709" spans="2:14" x14ac:dyDescent="0.35">
      <c r="B709" s="12" t="s">
        <v>735</v>
      </c>
      <c r="L709" s="5" t="s">
        <v>26</v>
      </c>
      <c r="M709" s="7" t="b">
        <f t="shared" ca="1" si="40"/>
        <v>0</v>
      </c>
      <c r="N709" s="16" t="b">
        <f t="shared" ca="1" si="41"/>
        <v>0</v>
      </c>
    </row>
    <row r="710" spans="2:14" x14ac:dyDescent="0.35">
      <c r="B710" s="12" t="s">
        <v>736</v>
      </c>
      <c r="L710" s="5" t="s">
        <v>25</v>
      </c>
      <c r="M710" s="7" t="b">
        <f t="shared" ca="1" si="40"/>
        <v>0</v>
      </c>
      <c r="N710" s="16" t="b">
        <f t="shared" ca="1" si="41"/>
        <v>0</v>
      </c>
    </row>
    <row r="711" spans="2:14" x14ac:dyDescent="0.35">
      <c r="B711" s="12" t="s">
        <v>737</v>
      </c>
      <c r="L711" s="5" t="s">
        <v>26</v>
      </c>
      <c r="M711" s="7" t="b">
        <f t="shared" ca="1" si="40"/>
        <v>0</v>
      </c>
      <c r="N711" s="16" t="b">
        <f t="shared" ca="1" si="41"/>
        <v>0</v>
      </c>
    </row>
    <row r="712" spans="2:14" x14ac:dyDescent="0.35">
      <c r="B712" s="12" t="s">
        <v>738</v>
      </c>
      <c r="L712" s="5" t="s">
        <v>25</v>
      </c>
      <c r="M712" s="7" t="b">
        <f t="shared" ca="1" si="40"/>
        <v>0</v>
      </c>
      <c r="N712" s="16" t="b">
        <f t="shared" ca="1" si="41"/>
        <v>0</v>
      </c>
    </row>
    <row r="713" spans="2:14" x14ac:dyDescent="0.35">
      <c r="B713" s="12" t="s">
        <v>739</v>
      </c>
      <c r="L713" s="5" t="s">
        <v>26</v>
      </c>
      <c r="M713" s="7" t="b">
        <f t="shared" ca="1" si="40"/>
        <v>0</v>
      </c>
      <c r="N713" s="16" t="b">
        <f t="shared" ca="1" si="41"/>
        <v>0</v>
      </c>
    </row>
    <row r="714" spans="2:14" x14ac:dyDescent="0.35">
      <c r="B714" s="12" t="s">
        <v>740</v>
      </c>
      <c r="L714" s="5" t="s">
        <v>25</v>
      </c>
      <c r="M714" s="7" t="b">
        <f t="shared" ca="1" si="40"/>
        <v>0</v>
      </c>
      <c r="N714" s="16" t="b">
        <f t="shared" ca="1" si="41"/>
        <v>0</v>
      </c>
    </row>
    <row r="715" spans="2:14" x14ac:dyDescent="0.35">
      <c r="B715" s="12" t="s">
        <v>741</v>
      </c>
      <c r="L715" s="5" t="s">
        <v>26</v>
      </c>
      <c r="M715" s="7" t="b">
        <f t="shared" ca="1" si="40"/>
        <v>0</v>
      </c>
      <c r="N715" s="16" t="b">
        <f t="shared" ca="1" si="41"/>
        <v>0</v>
      </c>
    </row>
    <row r="716" spans="2:14" x14ac:dyDescent="0.35">
      <c r="B716" s="12" t="s">
        <v>742</v>
      </c>
      <c r="L716" s="5" t="s">
        <v>25</v>
      </c>
      <c r="M716" s="7" t="b">
        <f t="shared" ca="1" si="40"/>
        <v>0</v>
      </c>
      <c r="N716" s="16" t="b">
        <f t="shared" ca="1" si="41"/>
        <v>0</v>
      </c>
    </row>
    <row r="717" spans="2:14" x14ac:dyDescent="0.35">
      <c r="B717" s="12" t="s">
        <v>743</v>
      </c>
      <c r="L717" s="5" t="s">
        <v>26</v>
      </c>
      <c r="M717" s="7" t="b">
        <f t="shared" ca="1" si="40"/>
        <v>0</v>
      </c>
      <c r="N717" s="16" t="b">
        <f t="shared" ca="1" si="41"/>
        <v>0</v>
      </c>
    </row>
    <row r="718" spans="2:14" x14ac:dyDescent="0.35">
      <c r="B718" s="12" t="s">
        <v>744</v>
      </c>
      <c r="L718" s="5" t="s">
        <v>25</v>
      </c>
      <c r="M718" s="7" t="b">
        <f t="shared" ca="1" si="40"/>
        <v>0</v>
      </c>
      <c r="N718" s="16" t="b">
        <f t="shared" ca="1" si="41"/>
        <v>0</v>
      </c>
    </row>
    <row r="719" spans="2:14" x14ac:dyDescent="0.35">
      <c r="B719" s="12" t="s">
        <v>745</v>
      </c>
      <c r="L719" s="5" t="s">
        <v>26</v>
      </c>
      <c r="M719" s="7" t="b">
        <f t="shared" ca="1" si="40"/>
        <v>0</v>
      </c>
      <c r="N719" s="16" t="b">
        <f t="shared" ca="1" si="41"/>
        <v>0</v>
      </c>
    </row>
    <row r="720" spans="2:14" x14ac:dyDescent="0.35">
      <c r="B720" s="12" t="s">
        <v>746</v>
      </c>
      <c r="L720" s="5" t="s">
        <v>25</v>
      </c>
      <c r="M720" s="7" t="b">
        <f t="shared" ca="1" si="40"/>
        <v>0</v>
      </c>
      <c r="N720" s="16" t="b">
        <f t="shared" ca="1" si="41"/>
        <v>0</v>
      </c>
    </row>
    <row r="721" spans="2:14" x14ac:dyDescent="0.35">
      <c r="B721" s="12" t="s">
        <v>747</v>
      </c>
      <c r="L721" s="5" t="s">
        <v>26</v>
      </c>
      <c r="M721" s="7" t="b">
        <f t="shared" ca="1" si="40"/>
        <v>0</v>
      </c>
      <c r="N721" s="16" t="b">
        <f t="shared" ca="1" si="41"/>
        <v>0</v>
      </c>
    </row>
    <row r="722" spans="2:14" x14ac:dyDescent="0.35">
      <c r="B722" s="12" t="s">
        <v>748</v>
      </c>
      <c r="L722" s="5" t="s">
        <v>25</v>
      </c>
      <c r="M722" s="7" t="b">
        <f t="shared" ca="1" si="40"/>
        <v>0</v>
      </c>
      <c r="N722" s="16" t="b">
        <f t="shared" ca="1" si="41"/>
        <v>0</v>
      </c>
    </row>
    <row r="723" spans="2:14" x14ac:dyDescent="0.35">
      <c r="B723" s="12" t="s">
        <v>749</v>
      </c>
      <c r="L723" s="5" t="s">
        <v>26</v>
      </c>
      <c r="M723" s="7" t="b">
        <f t="shared" ca="1" si="40"/>
        <v>0</v>
      </c>
      <c r="N723" s="16" t="b">
        <f t="shared" ca="1" si="41"/>
        <v>0</v>
      </c>
    </row>
    <row r="724" spans="2:14" x14ac:dyDescent="0.35">
      <c r="B724" s="12" t="s">
        <v>750</v>
      </c>
      <c r="L724" s="5" t="s">
        <v>25</v>
      </c>
      <c r="M724" s="7" t="b">
        <f t="shared" ca="1" si="40"/>
        <v>0</v>
      </c>
      <c r="N724" s="16" t="b">
        <f t="shared" ca="1" si="41"/>
        <v>0</v>
      </c>
    </row>
    <row r="725" spans="2:14" x14ac:dyDescent="0.35">
      <c r="B725" s="12" t="s">
        <v>751</v>
      </c>
      <c r="L725" s="5" t="s">
        <v>26</v>
      </c>
      <c r="M725" s="7" t="b">
        <f t="shared" ca="1" si="40"/>
        <v>0</v>
      </c>
      <c r="N725" s="16" t="b">
        <f t="shared" ca="1" si="41"/>
        <v>0</v>
      </c>
    </row>
    <row r="726" spans="2:14" x14ac:dyDescent="0.35">
      <c r="B726" s="12" t="s">
        <v>752</v>
      </c>
      <c r="L726" s="5" t="s">
        <v>25</v>
      </c>
      <c r="M726" s="7" t="b">
        <f t="shared" ca="1" si="40"/>
        <v>0</v>
      </c>
      <c r="N726" s="16" t="b">
        <f t="shared" ca="1" si="41"/>
        <v>0</v>
      </c>
    </row>
    <row r="727" spans="2:14" x14ac:dyDescent="0.35">
      <c r="B727" s="12" t="s">
        <v>753</v>
      </c>
      <c r="L727" s="5" t="s">
        <v>26</v>
      </c>
      <c r="M727" s="7" t="b">
        <f t="shared" ca="1" si="40"/>
        <v>0</v>
      </c>
      <c r="N727" s="16" t="b">
        <f t="shared" ca="1" si="41"/>
        <v>0</v>
      </c>
    </row>
    <row r="728" spans="2:14" x14ac:dyDescent="0.35">
      <c r="B728" s="12" t="s">
        <v>754</v>
      </c>
      <c r="L728" s="5" t="s">
        <v>25</v>
      </c>
      <c r="M728" s="7" t="b">
        <f t="shared" ca="1" si="40"/>
        <v>0</v>
      </c>
      <c r="N728" s="16" t="b">
        <f t="shared" ca="1" si="41"/>
        <v>0</v>
      </c>
    </row>
    <row r="729" spans="2:14" x14ac:dyDescent="0.35">
      <c r="B729" s="12" t="s">
        <v>755</v>
      </c>
      <c r="L729" s="5" t="s">
        <v>26</v>
      </c>
      <c r="M729" s="7" t="b">
        <f t="shared" ca="1" si="40"/>
        <v>0</v>
      </c>
      <c r="N729" s="16" t="b">
        <f t="shared" ca="1" si="41"/>
        <v>0</v>
      </c>
    </row>
    <row r="730" spans="2:14" x14ac:dyDescent="0.35">
      <c r="B730" s="12" t="s">
        <v>756</v>
      </c>
      <c r="L730" s="5" t="s">
        <v>25</v>
      </c>
      <c r="M730" s="7" t="b">
        <f t="shared" ca="1" si="40"/>
        <v>0</v>
      </c>
      <c r="N730" s="16" t="b">
        <f t="shared" ca="1" si="41"/>
        <v>0</v>
      </c>
    </row>
    <row r="731" spans="2:14" x14ac:dyDescent="0.35">
      <c r="B731" s="12" t="s">
        <v>757</v>
      </c>
      <c r="L731" s="5" t="s">
        <v>26</v>
      </c>
      <c r="M731" s="7" t="b">
        <f t="shared" ca="1" si="40"/>
        <v>0</v>
      </c>
      <c r="N731" s="16" t="b">
        <f t="shared" ca="1" si="41"/>
        <v>0</v>
      </c>
    </row>
    <row r="732" spans="2:14" x14ac:dyDescent="0.35">
      <c r="B732" s="12" t="s">
        <v>758</v>
      </c>
      <c r="L732" s="5" t="s">
        <v>25</v>
      </c>
      <c r="M732" s="7" t="b">
        <f t="shared" ca="1" si="40"/>
        <v>0</v>
      </c>
      <c r="N732" s="16" t="b">
        <f t="shared" ca="1" si="41"/>
        <v>0</v>
      </c>
    </row>
    <row r="733" spans="2:14" x14ac:dyDescent="0.35">
      <c r="B733" s="12" t="s">
        <v>759</v>
      </c>
      <c r="L733" s="5" t="s">
        <v>26</v>
      </c>
      <c r="M733" s="7" t="b">
        <f t="shared" ca="1" si="40"/>
        <v>0</v>
      </c>
      <c r="N733" s="16" t="b">
        <f t="shared" ca="1" si="41"/>
        <v>0</v>
      </c>
    </row>
    <row r="734" spans="2:14" x14ac:dyDescent="0.35">
      <c r="B734" s="12" t="s">
        <v>760</v>
      </c>
      <c r="L734" s="5" t="s">
        <v>25</v>
      </c>
      <c r="M734" s="7" t="b">
        <f t="shared" ca="1" si="40"/>
        <v>0</v>
      </c>
      <c r="N734" s="16" t="b">
        <f t="shared" ca="1" si="41"/>
        <v>0</v>
      </c>
    </row>
    <row r="735" spans="2:14" x14ac:dyDescent="0.35">
      <c r="B735" s="12" t="s">
        <v>761</v>
      </c>
      <c r="L735" s="5" t="s">
        <v>26</v>
      </c>
      <c r="M735" s="7" t="b">
        <f t="shared" ca="1" si="40"/>
        <v>0</v>
      </c>
      <c r="N735" s="16" t="b">
        <f t="shared" ca="1" si="41"/>
        <v>0</v>
      </c>
    </row>
    <row r="736" spans="2:14" x14ac:dyDescent="0.35">
      <c r="B736" s="12" t="s">
        <v>762</v>
      </c>
      <c r="L736" s="5" t="s">
        <v>25</v>
      </c>
      <c r="M736" s="7" t="b">
        <f t="shared" ca="1" si="40"/>
        <v>0</v>
      </c>
      <c r="N736" s="16" t="b">
        <f t="shared" ca="1" si="41"/>
        <v>0</v>
      </c>
    </row>
    <row r="737" spans="2:14" x14ac:dyDescent="0.35">
      <c r="B737" s="12" t="s">
        <v>763</v>
      </c>
      <c r="L737" s="5" t="s">
        <v>26</v>
      </c>
      <c r="M737" s="7" t="b">
        <f t="shared" ca="1" si="40"/>
        <v>0</v>
      </c>
      <c r="N737" s="16" t="b">
        <f t="shared" ca="1" si="41"/>
        <v>0</v>
      </c>
    </row>
    <row r="738" spans="2:14" x14ac:dyDescent="0.35">
      <c r="B738" s="12" t="s">
        <v>764</v>
      </c>
      <c r="L738" s="5" t="s">
        <v>25</v>
      </c>
      <c r="M738" s="7" t="b">
        <f t="shared" ca="1" si="40"/>
        <v>0</v>
      </c>
      <c r="N738" s="16" t="b">
        <f t="shared" ca="1" si="41"/>
        <v>0</v>
      </c>
    </row>
    <row r="739" spans="2:14" x14ac:dyDescent="0.35">
      <c r="B739" s="12" t="s">
        <v>765</v>
      </c>
      <c r="L739" s="5" t="s">
        <v>26</v>
      </c>
      <c r="M739" s="7" t="b">
        <f t="shared" ca="1" si="40"/>
        <v>0</v>
      </c>
      <c r="N739" s="16" t="b">
        <f t="shared" ca="1" si="41"/>
        <v>0</v>
      </c>
    </row>
    <row r="740" spans="2:14" x14ac:dyDescent="0.35">
      <c r="B740" s="12" t="s">
        <v>766</v>
      </c>
      <c r="L740" s="5" t="s">
        <v>25</v>
      </c>
      <c r="M740" s="7" t="b">
        <f t="shared" ca="1" si="40"/>
        <v>0</v>
      </c>
      <c r="N740" s="16" t="b">
        <f t="shared" ca="1" si="41"/>
        <v>0</v>
      </c>
    </row>
    <row r="741" spans="2:14" x14ac:dyDescent="0.35">
      <c r="B741" s="12" t="s">
        <v>767</v>
      </c>
      <c r="L741" s="5" t="s">
        <v>26</v>
      </c>
      <c r="M741" s="7" t="b">
        <f t="shared" ca="1" si="40"/>
        <v>0</v>
      </c>
      <c r="N741" s="16" t="b">
        <f t="shared" ca="1" si="41"/>
        <v>0</v>
      </c>
    </row>
    <row r="742" spans="2:14" x14ac:dyDescent="0.35">
      <c r="B742" s="12" t="s">
        <v>768</v>
      </c>
      <c r="L742" s="5" t="s">
        <v>25</v>
      </c>
      <c r="M742" s="7" t="b">
        <f t="shared" ca="1" si="40"/>
        <v>0</v>
      </c>
      <c r="N742" s="16" t="b">
        <f t="shared" ca="1" si="41"/>
        <v>0</v>
      </c>
    </row>
    <row r="743" spans="2:14" x14ac:dyDescent="0.35">
      <c r="B743" s="12" t="s">
        <v>769</v>
      </c>
      <c r="L743" s="5" t="s">
        <v>26</v>
      </c>
      <c r="M743" s="7" t="b">
        <f t="shared" ca="1" si="40"/>
        <v>0</v>
      </c>
      <c r="N743" s="16" t="b">
        <f t="shared" ca="1" si="41"/>
        <v>0</v>
      </c>
    </row>
    <row r="744" spans="2:14" x14ac:dyDescent="0.35">
      <c r="B744" s="12" t="s">
        <v>770</v>
      </c>
      <c r="L744" s="5" t="s">
        <v>25</v>
      </c>
      <c r="M744" s="7" t="b">
        <f t="shared" ca="1" si="40"/>
        <v>0</v>
      </c>
      <c r="N744" s="16" t="b">
        <f t="shared" ca="1" si="41"/>
        <v>0</v>
      </c>
    </row>
    <row r="745" spans="2:14" x14ac:dyDescent="0.35">
      <c r="B745" s="12" t="s">
        <v>771</v>
      </c>
      <c r="L745" s="5" t="s">
        <v>26</v>
      </c>
      <c r="M745" s="7" t="b">
        <f t="shared" ca="1" si="40"/>
        <v>0</v>
      </c>
      <c r="N745" s="16" t="b">
        <f t="shared" ca="1" si="41"/>
        <v>0</v>
      </c>
    </row>
    <row r="746" spans="2:14" x14ac:dyDescent="0.35">
      <c r="B746" s="12" t="s">
        <v>772</v>
      </c>
      <c r="L746" s="5" t="s">
        <v>25</v>
      </c>
      <c r="M746" s="7" t="b">
        <f t="shared" ca="1" si="40"/>
        <v>0</v>
      </c>
      <c r="N746" s="16" t="b">
        <f t="shared" ca="1" si="41"/>
        <v>0</v>
      </c>
    </row>
    <row r="747" spans="2:14" x14ac:dyDescent="0.35">
      <c r="B747" s="12" t="s">
        <v>773</v>
      </c>
      <c r="L747" s="5" t="s">
        <v>26</v>
      </c>
      <c r="M747" s="7" t="b">
        <f t="shared" ca="1" si="40"/>
        <v>0</v>
      </c>
      <c r="N747" s="16" t="b">
        <f t="shared" ca="1" si="41"/>
        <v>0</v>
      </c>
    </row>
    <row r="748" spans="2:14" x14ac:dyDescent="0.35">
      <c r="B748" s="12" t="s">
        <v>774</v>
      </c>
      <c r="L748" s="5" t="s">
        <v>25</v>
      </c>
      <c r="M748" s="7" t="b">
        <f t="shared" ca="1" si="40"/>
        <v>0</v>
      </c>
      <c r="N748" s="16" t="b">
        <f t="shared" ca="1" si="41"/>
        <v>0</v>
      </c>
    </row>
    <row r="749" spans="2:14" x14ac:dyDescent="0.35">
      <c r="B749" s="12" t="s">
        <v>775</v>
      </c>
      <c r="L749" s="5" t="s">
        <v>26</v>
      </c>
      <c r="M749" s="7" t="b">
        <f t="shared" ca="1" si="40"/>
        <v>0</v>
      </c>
      <c r="N749" s="16" t="b">
        <f t="shared" ca="1" si="41"/>
        <v>0</v>
      </c>
    </row>
    <row r="750" spans="2:14" x14ac:dyDescent="0.35">
      <c r="B750" s="12" t="s">
        <v>776</v>
      </c>
      <c r="L750" s="5" t="s">
        <v>25</v>
      </c>
      <c r="M750" s="7" t="b">
        <f t="shared" ca="1" si="40"/>
        <v>0</v>
      </c>
      <c r="N750" s="16" t="b">
        <f t="shared" ca="1" si="41"/>
        <v>0</v>
      </c>
    </row>
    <row r="751" spans="2:14" x14ac:dyDescent="0.35">
      <c r="B751" s="12" t="s">
        <v>777</v>
      </c>
      <c r="L751" s="5" t="s">
        <v>26</v>
      </c>
      <c r="M751" s="7" t="b">
        <f t="shared" ca="1" si="40"/>
        <v>0</v>
      </c>
      <c r="N751" s="16" t="b">
        <f t="shared" ca="1" si="41"/>
        <v>0</v>
      </c>
    </row>
    <row r="752" spans="2:14" x14ac:dyDescent="0.35">
      <c r="B752" s="12" t="s">
        <v>778</v>
      </c>
      <c r="L752" s="5" t="s">
        <v>25</v>
      </c>
      <c r="M752" s="7" t="b">
        <f t="shared" ca="1" si="40"/>
        <v>0</v>
      </c>
      <c r="N752" s="16" t="b">
        <f t="shared" ca="1" si="41"/>
        <v>0</v>
      </c>
    </row>
    <row r="753" spans="2:14" x14ac:dyDescent="0.35">
      <c r="B753" s="12" t="s">
        <v>779</v>
      </c>
      <c r="L753" s="5" t="s">
        <v>26</v>
      </c>
      <c r="M753" s="7" t="b">
        <f t="shared" ca="1" si="40"/>
        <v>0</v>
      </c>
      <c r="N753" s="16" t="b">
        <f t="shared" ca="1" si="41"/>
        <v>0</v>
      </c>
    </row>
    <row r="754" spans="2:14" x14ac:dyDescent="0.35">
      <c r="B754" s="12" t="s">
        <v>780</v>
      </c>
      <c r="L754" s="5" t="s">
        <v>25</v>
      </c>
      <c r="M754" s="7" t="b">
        <f t="shared" ca="1" si="40"/>
        <v>0</v>
      </c>
      <c r="N754" s="16" t="b">
        <f t="shared" ca="1" si="41"/>
        <v>0</v>
      </c>
    </row>
    <row r="755" spans="2:14" x14ac:dyDescent="0.35">
      <c r="B755" s="12" t="s">
        <v>781</v>
      </c>
      <c r="L755" s="5" t="s">
        <v>26</v>
      </c>
      <c r="M755" s="7" t="b">
        <f t="shared" ca="1" si="40"/>
        <v>0</v>
      </c>
      <c r="N755" s="16" t="b">
        <f t="shared" ca="1" si="41"/>
        <v>0</v>
      </c>
    </row>
    <row r="756" spans="2:14" x14ac:dyDescent="0.35">
      <c r="B756" s="12" t="s">
        <v>782</v>
      </c>
      <c r="L756" s="5" t="s">
        <v>25</v>
      </c>
      <c r="M756" s="7" t="b">
        <f t="shared" ca="1" si="40"/>
        <v>0</v>
      </c>
      <c r="N756" s="16" t="b">
        <f t="shared" ca="1" si="41"/>
        <v>0</v>
      </c>
    </row>
    <row r="757" spans="2:14" x14ac:dyDescent="0.35">
      <c r="B757" s="12" t="s">
        <v>783</v>
      </c>
      <c r="L757" s="5" t="s">
        <v>26</v>
      </c>
      <c r="M757" s="7" t="b">
        <f t="shared" ca="1" si="40"/>
        <v>0</v>
      </c>
      <c r="N757" s="16" t="b">
        <f t="shared" ca="1" si="41"/>
        <v>0</v>
      </c>
    </row>
    <row r="758" spans="2:14" x14ac:dyDescent="0.35">
      <c r="B758" s="12" t="s">
        <v>784</v>
      </c>
      <c r="L758" s="5" t="s">
        <v>25</v>
      </c>
      <c r="M758" s="7" t="b">
        <f t="shared" ca="1" si="40"/>
        <v>0</v>
      </c>
      <c r="N758" s="16" t="b">
        <f t="shared" ca="1" si="41"/>
        <v>0</v>
      </c>
    </row>
    <row r="759" spans="2:14" x14ac:dyDescent="0.35">
      <c r="B759" s="12" t="s">
        <v>785</v>
      </c>
      <c r="L759" s="5" t="s">
        <v>26</v>
      </c>
      <c r="M759" s="7" t="b">
        <f t="shared" ca="1" si="40"/>
        <v>0</v>
      </c>
      <c r="N759" s="16" t="b">
        <f t="shared" ca="1" si="41"/>
        <v>0</v>
      </c>
    </row>
    <row r="760" spans="2:14" x14ac:dyDescent="0.35">
      <c r="B760" s="12" t="s">
        <v>786</v>
      </c>
      <c r="L760" s="5" t="s">
        <v>25</v>
      </c>
      <c r="M760" s="7" t="b">
        <f t="shared" ca="1" si="40"/>
        <v>0</v>
      </c>
      <c r="N760" s="16" t="b">
        <f t="shared" ca="1" si="41"/>
        <v>0</v>
      </c>
    </row>
    <row r="761" spans="2:14" x14ac:dyDescent="0.35">
      <c r="B761" s="12" t="s">
        <v>787</v>
      </c>
      <c r="L761" s="5" t="s">
        <v>26</v>
      </c>
      <c r="M761" s="7" t="b">
        <f t="shared" ca="1" si="40"/>
        <v>0</v>
      </c>
      <c r="N761" s="16" t="b">
        <f t="shared" ca="1" si="41"/>
        <v>0</v>
      </c>
    </row>
    <row r="762" spans="2:14" x14ac:dyDescent="0.35">
      <c r="B762" s="12" t="s">
        <v>788</v>
      </c>
      <c r="L762" s="5" t="s">
        <v>25</v>
      </c>
      <c r="M762" s="7" t="b">
        <f t="shared" ca="1" si="40"/>
        <v>0</v>
      </c>
      <c r="N762" s="16" t="b">
        <f t="shared" ca="1" si="41"/>
        <v>0</v>
      </c>
    </row>
    <row r="763" spans="2:14" x14ac:dyDescent="0.35">
      <c r="B763" s="12" t="s">
        <v>789</v>
      </c>
      <c r="L763" s="5" t="s">
        <v>26</v>
      </c>
      <c r="M763" s="7" t="b">
        <f t="shared" ca="1" si="40"/>
        <v>0</v>
      </c>
      <c r="N763" s="16" t="b">
        <f t="shared" ca="1" si="41"/>
        <v>0</v>
      </c>
    </row>
    <row r="764" spans="2:14" x14ac:dyDescent="0.35">
      <c r="B764" s="12" t="s">
        <v>790</v>
      </c>
      <c r="L764" s="5" t="s">
        <v>25</v>
      </c>
      <c r="M764" s="7" t="b">
        <f t="shared" ca="1" si="40"/>
        <v>0</v>
      </c>
      <c r="N764" s="16" t="b">
        <f t="shared" ca="1" si="41"/>
        <v>0</v>
      </c>
    </row>
    <row r="765" spans="2:14" x14ac:dyDescent="0.35">
      <c r="B765" s="12" t="s">
        <v>791</v>
      </c>
      <c r="L765" s="5" t="s">
        <v>26</v>
      </c>
      <c r="M765" s="7" t="b">
        <f t="shared" ca="1" si="40"/>
        <v>0</v>
      </c>
      <c r="N765" s="16" t="b">
        <f t="shared" ca="1" si="41"/>
        <v>0</v>
      </c>
    </row>
    <row r="766" spans="2:14" x14ac:dyDescent="0.35">
      <c r="B766" s="12" t="s">
        <v>792</v>
      </c>
      <c r="L766" s="5" t="s">
        <v>25</v>
      </c>
      <c r="M766" s="7" t="b">
        <f t="shared" ca="1" si="40"/>
        <v>0</v>
      </c>
      <c r="N766" s="16" t="b">
        <f t="shared" ca="1" si="41"/>
        <v>0</v>
      </c>
    </row>
    <row r="767" spans="2:14" x14ac:dyDescent="0.35">
      <c r="B767" s="12" t="s">
        <v>793</v>
      </c>
      <c r="L767" s="5" t="s">
        <v>26</v>
      </c>
      <c r="M767" s="7" t="b">
        <f t="shared" ca="1" si="40"/>
        <v>0</v>
      </c>
      <c r="N767" s="16" t="b">
        <f t="shared" ca="1" si="41"/>
        <v>0</v>
      </c>
    </row>
    <row r="768" spans="2:14" x14ac:dyDescent="0.35">
      <c r="B768" s="12" t="s">
        <v>794</v>
      </c>
      <c r="L768" s="5" t="s">
        <v>25</v>
      </c>
      <c r="M768" s="7" t="b">
        <f t="shared" ca="1" si="40"/>
        <v>0</v>
      </c>
      <c r="N768" s="16" t="b">
        <f t="shared" ca="1" si="41"/>
        <v>0</v>
      </c>
    </row>
    <row r="769" spans="2:14" x14ac:dyDescent="0.35">
      <c r="B769" s="12" t="s">
        <v>795</v>
      </c>
      <c r="L769" s="5" t="s">
        <v>26</v>
      </c>
      <c r="M769" s="7" t="b">
        <f t="shared" ca="1" si="40"/>
        <v>0</v>
      </c>
      <c r="N769" s="16" t="b">
        <f t="shared" ca="1" si="41"/>
        <v>0</v>
      </c>
    </row>
    <row r="770" spans="2:14" x14ac:dyDescent="0.35">
      <c r="B770" s="12" t="s">
        <v>796</v>
      </c>
      <c r="L770" s="5" t="s">
        <v>25</v>
      </c>
      <c r="M770" s="7" t="b">
        <f t="shared" ca="1" si="40"/>
        <v>0</v>
      </c>
      <c r="N770" s="16" t="b">
        <f t="shared" ca="1" si="41"/>
        <v>0</v>
      </c>
    </row>
    <row r="771" spans="2:14" x14ac:dyDescent="0.35">
      <c r="B771" s="12" t="s">
        <v>797</v>
      </c>
      <c r="L771" s="5" t="s">
        <v>26</v>
      </c>
      <c r="M771" s="7" t="b">
        <f t="shared" ref="M771:M834" ca="1" si="42">AND(A771&gt;=(TODAY()-28),A771&lt;TODAY())</f>
        <v>0</v>
      </c>
      <c r="N771" s="16" t="b">
        <f t="shared" ref="N771:N834" ca="1" si="43">AND(A771&gt;=(TODAY()-56),A771&lt;(TODAY()-28))</f>
        <v>0</v>
      </c>
    </row>
    <row r="772" spans="2:14" x14ac:dyDescent="0.35">
      <c r="B772" s="12" t="s">
        <v>798</v>
      </c>
      <c r="L772" s="5" t="s">
        <v>25</v>
      </c>
      <c r="M772" s="7" t="b">
        <f t="shared" ca="1" si="42"/>
        <v>0</v>
      </c>
      <c r="N772" s="16" t="b">
        <f t="shared" ca="1" si="43"/>
        <v>0</v>
      </c>
    </row>
    <row r="773" spans="2:14" x14ac:dyDescent="0.35">
      <c r="B773" s="12" t="s">
        <v>799</v>
      </c>
      <c r="L773" s="5" t="s">
        <v>26</v>
      </c>
      <c r="M773" s="7" t="b">
        <f t="shared" ca="1" si="42"/>
        <v>0</v>
      </c>
      <c r="N773" s="16" t="b">
        <f t="shared" ca="1" si="43"/>
        <v>0</v>
      </c>
    </row>
    <row r="774" spans="2:14" x14ac:dyDescent="0.35">
      <c r="B774" s="12" t="s">
        <v>800</v>
      </c>
      <c r="L774" s="5" t="s">
        <v>25</v>
      </c>
      <c r="M774" s="7" t="b">
        <f t="shared" ca="1" si="42"/>
        <v>0</v>
      </c>
      <c r="N774" s="16" t="b">
        <f t="shared" ca="1" si="43"/>
        <v>0</v>
      </c>
    </row>
    <row r="775" spans="2:14" x14ac:dyDescent="0.35">
      <c r="B775" s="12" t="s">
        <v>801</v>
      </c>
      <c r="L775" s="5" t="s">
        <v>26</v>
      </c>
      <c r="M775" s="7" t="b">
        <f t="shared" ca="1" si="42"/>
        <v>0</v>
      </c>
      <c r="N775" s="16" t="b">
        <f t="shared" ca="1" si="43"/>
        <v>0</v>
      </c>
    </row>
    <row r="776" spans="2:14" x14ac:dyDescent="0.35">
      <c r="B776" s="12" t="s">
        <v>802</v>
      </c>
      <c r="L776" s="5" t="s">
        <v>25</v>
      </c>
      <c r="M776" s="7" t="b">
        <f t="shared" ca="1" si="42"/>
        <v>0</v>
      </c>
      <c r="N776" s="16" t="b">
        <f t="shared" ca="1" si="43"/>
        <v>0</v>
      </c>
    </row>
    <row r="777" spans="2:14" x14ac:dyDescent="0.35">
      <c r="B777" s="12" t="s">
        <v>803</v>
      </c>
      <c r="L777" s="5" t="s">
        <v>26</v>
      </c>
      <c r="M777" s="7" t="b">
        <f t="shared" ca="1" si="42"/>
        <v>0</v>
      </c>
      <c r="N777" s="16" t="b">
        <f t="shared" ca="1" si="43"/>
        <v>0</v>
      </c>
    </row>
    <row r="778" spans="2:14" x14ac:dyDescent="0.35">
      <c r="B778" s="12" t="s">
        <v>804</v>
      </c>
      <c r="L778" s="5" t="s">
        <v>25</v>
      </c>
      <c r="M778" s="7" t="b">
        <f t="shared" ca="1" si="42"/>
        <v>0</v>
      </c>
      <c r="N778" s="16" t="b">
        <f t="shared" ca="1" si="43"/>
        <v>0</v>
      </c>
    </row>
    <row r="779" spans="2:14" x14ac:dyDescent="0.35">
      <c r="B779" s="12" t="s">
        <v>805</v>
      </c>
      <c r="L779" s="5" t="s">
        <v>26</v>
      </c>
      <c r="M779" s="7" t="b">
        <f t="shared" ca="1" si="42"/>
        <v>0</v>
      </c>
      <c r="N779" s="16" t="b">
        <f t="shared" ca="1" si="43"/>
        <v>0</v>
      </c>
    </row>
    <row r="780" spans="2:14" x14ac:dyDescent="0.35">
      <c r="B780" s="12" t="s">
        <v>806</v>
      </c>
      <c r="L780" s="5" t="s">
        <v>25</v>
      </c>
      <c r="M780" s="7" t="b">
        <f t="shared" ca="1" si="42"/>
        <v>0</v>
      </c>
      <c r="N780" s="16" t="b">
        <f t="shared" ca="1" si="43"/>
        <v>0</v>
      </c>
    </row>
    <row r="781" spans="2:14" x14ac:dyDescent="0.35">
      <c r="B781" s="12" t="s">
        <v>807</v>
      </c>
      <c r="L781" s="5" t="s">
        <v>26</v>
      </c>
      <c r="M781" s="7" t="b">
        <f t="shared" ca="1" si="42"/>
        <v>0</v>
      </c>
      <c r="N781" s="16" t="b">
        <f t="shared" ca="1" si="43"/>
        <v>0</v>
      </c>
    </row>
    <row r="782" spans="2:14" x14ac:dyDescent="0.35">
      <c r="B782" s="12" t="s">
        <v>808</v>
      </c>
      <c r="L782" s="5" t="s">
        <v>25</v>
      </c>
      <c r="M782" s="7" t="b">
        <f t="shared" ca="1" si="42"/>
        <v>0</v>
      </c>
      <c r="N782" s="16" t="b">
        <f t="shared" ca="1" si="43"/>
        <v>0</v>
      </c>
    </row>
    <row r="783" spans="2:14" x14ac:dyDescent="0.35">
      <c r="B783" s="12" t="s">
        <v>809</v>
      </c>
      <c r="L783" s="5" t="s">
        <v>26</v>
      </c>
      <c r="M783" s="7" t="b">
        <f t="shared" ca="1" si="42"/>
        <v>0</v>
      </c>
      <c r="N783" s="16" t="b">
        <f t="shared" ca="1" si="43"/>
        <v>0</v>
      </c>
    </row>
    <row r="784" spans="2:14" x14ac:dyDescent="0.35">
      <c r="B784" s="12" t="s">
        <v>810</v>
      </c>
      <c r="L784" s="5" t="s">
        <v>25</v>
      </c>
      <c r="M784" s="7" t="b">
        <f t="shared" ca="1" si="42"/>
        <v>0</v>
      </c>
      <c r="N784" s="16" t="b">
        <f t="shared" ca="1" si="43"/>
        <v>0</v>
      </c>
    </row>
    <row r="785" spans="2:14" x14ac:dyDescent="0.35">
      <c r="B785" s="12" t="s">
        <v>811</v>
      </c>
      <c r="L785" s="5" t="s">
        <v>26</v>
      </c>
      <c r="M785" s="7" t="b">
        <f t="shared" ca="1" si="42"/>
        <v>0</v>
      </c>
      <c r="N785" s="16" t="b">
        <f t="shared" ca="1" si="43"/>
        <v>0</v>
      </c>
    </row>
    <row r="786" spans="2:14" x14ac:dyDescent="0.35">
      <c r="B786" s="12" t="s">
        <v>812</v>
      </c>
      <c r="L786" s="5" t="s">
        <v>25</v>
      </c>
      <c r="M786" s="7" t="b">
        <f t="shared" ca="1" si="42"/>
        <v>0</v>
      </c>
      <c r="N786" s="16" t="b">
        <f t="shared" ca="1" si="43"/>
        <v>0</v>
      </c>
    </row>
    <row r="787" spans="2:14" x14ac:dyDescent="0.35">
      <c r="B787" s="12" t="s">
        <v>813</v>
      </c>
      <c r="L787" s="5" t="s">
        <v>26</v>
      </c>
      <c r="M787" s="7" t="b">
        <f t="shared" ca="1" si="42"/>
        <v>0</v>
      </c>
      <c r="N787" s="16" t="b">
        <f t="shared" ca="1" si="43"/>
        <v>0</v>
      </c>
    </row>
    <row r="788" spans="2:14" x14ac:dyDescent="0.35">
      <c r="B788" s="12" t="s">
        <v>814</v>
      </c>
      <c r="L788" s="5" t="s">
        <v>25</v>
      </c>
      <c r="M788" s="7" t="b">
        <f t="shared" ca="1" si="42"/>
        <v>0</v>
      </c>
      <c r="N788" s="16" t="b">
        <f t="shared" ca="1" si="43"/>
        <v>0</v>
      </c>
    </row>
    <row r="789" spans="2:14" x14ac:dyDescent="0.35">
      <c r="B789" s="12" t="s">
        <v>815</v>
      </c>
      <c r="L789" s="5" t="s">
        <v>26</v>
      </c>
      <c r="M789" s="7" t="b">
        <f t="shared" ca="1" si="42"/>
        <v>0</v>
      </c>
      <c r="N789" s="16" t="b">
        <f t="shared" ca="1" si="43"/>
        <v>0</v>
      </c>
    </row>
    <row r="790" spans="2:14" x14ac:dyDescent="0.35">
      <c r="B790" s="12" t="s">
        <v>816</v>
      </c>
      <c r="L790" s="5" t="s">
        <v>25</v>
      </c>
      <c r="M790" s="7" t="b">
        <f t="shared" ca="1" si="42"/>
        <v>0</v>
      </c>
      <c r="N790" s="16" t="b">
        <f t="shared" ca="1" si="43"/>
        <v>0</v>
      </c>
    </row>
    <row r="791" spans="2:14" x14ac:dyDescent="0.35">
      <c r="B791" s="12" t="s">
        <v>817</v>
      </c>
      <c r="L791" s="5" t="s">
        <v>26</v>
      </c>
      <c r="M791" s="7" t="b">
        <f t="shared" ca="1" si="42"/>
        <v>0</v>
      </c>
      <c r="N791" s="16" t="b">
        <f t="shared" ca="1" si="43"/>
        <v>0</v>
      </c>
    </row>
    <row r="792" spans="2:14" x14ac:dyDescent="0.35">
      <c r="B792" s="12" t="s">
        <v>818</v>
      </c>
      <c r="L792" s="5" t="s">
        <v>25</v>
      </c>
      <c r="M792" s="7" t="b">
        <f t="shared" ca="1" si="42"/>
        <v>0</v>
      </c>
      <c r="N792" s="16" t="b">
        <f t="shared" ca="1" si="43"/>
        <v>0</v>
      </c>
    </row>
    <row r="793" spans="2:14" x14ac:dyDescent="0.35">
      <c r="B793" s="12" t="s">
        <v>819</v>
      </c>
      <c r="L793" s="5" t="s">
        <v>26</v>
      </c>
      <c r="M793" s="7" t="b">
        <f t="shared" ca="1" si="42"/>
        <v>0</v>
      </c>
      <c r="N793" s="16" t="b">
        <f t="shared" ca="1" si="43"/>
        <v>0</v>
      </c>
    </row>
    <row r="794" spans="2:14" x14ac:dyDescent="0.35">
      <c r="B794" s="12" t="s">
        <v>820</v>
      </c>
      <c r="L794" s="5" t="s">
        <v>25</v>
      </c>
      <c r="M794" s="7" t="b">
        <f t="shared" ca="1" si="42"/>
        <v>0</v>
      </c>
      <c r="N794" s="16" t="b">
        <f t="shared" ca="1" si="43"/>
        <v>0</v>
      </c>
    </row>
    <row r="795" spans="2:14" x14ac:dyDescent="0.35">
      <c r="B795" s="12" t="s">
        <v>821</v>
      </c>
      <c r="L795" s="5" t="s">
        <v>26</v>
      </c>
      <c r="M795" s="7" t="b">
        <f t="shared" ca="1" si="42"/>
        <v>0</v>
      </c>
      <c r="N795" s="16" t="b">
        <f t="shared" ca="1" si="43"/>
        <v>0</v>
      </c>
    </row>
    <row r="796" spans="2:14" x14ac:dyDescent="0.35">
      <c r="B796" s="12" t="s">
        <v>822</v>
      </c>
      <c r="L796" s="5" t="s">
        <v>25</v>
      </c>
      <c r="M796" s="7" t="b">
        <f t="shared" ca="1" si="42"/>
        <v>0</v>
      </c>
      <c r="N796" s="16" t="b">
        <f t="shared" ca="1" si="43"/>
        <v>0</v>
      </c>
    </row>
    <row r="797" spans="2:14" x14ac:dyDescent="0.35">
      <c r="B797" s="12" t="s">
        <v>823</v>
      </c>
      <c r="L797" s="5" t="s">
        <v>26</v>
      </c>
      <c r="M797" s="7" t="b">
        <f t="shared" ca="1" si="42"/>
        <v>0</v>
      </c>
      <c r="N797" s="16" t="b">
        <f t="shared" ca="1" si="43"/>
        <v>0</v>
      </c>
    </row>
    <row r="798" spans="2:14" x14ac:dyDescent="0.35">
      <c r="B798" s="12" t="s">
        <v>824</v>
      </c>
      <c r="L798" s="5" t="s">
        <v>25</v>
      </c>
      <c r="M798" s="7" t="b">
        <f t="shared" ca="1" si="42"/>
        <v>0</v>
      </c>
      <c r="N798" s="16" t="b">
        <f t="shared" ca="1" si="43"/>
        <v>0</v>
      </c>
    </row>
    <row r="799" spans="2:14" x14ac:dyDescent="0.35">
      <c r="B799" s="12" t="s">
        <v>825</v>
      </c>
      <c r="L799" s="5" t="s">
        <v>26</v>
      </c>
      <c r="M799" s="7" t="b">
        <f t="shared" ca="1" si="42"/>
        <v>0</v>
      </c>
      <c r="N799" s="16" t="b">
        <f t="shared" ca="1" si="43"/>
        <v>0</v>
      </c>
    </row>
    <row r="800" spans="2:14" x14ac:dyDescent="0.35">
      <c r="B800" s="12" t="s">
        <v>826</v>
      </c>
      <c r="L800" s="5" t="s">
        <v>25</v>
      </c>
      <c r="M800" s="7" t="b">
        <f t="shared" ca="1" si="42"/>
        <v>0</v>
      </c>
      <c r="N800" s="16" t="b">
        <f t="shared" ca="1" si="43"/>
        <v>0</v>
      </c>
    </row>
    <row r="801" spans="2:14" x14ac:dyDescent="0.35">
      <c r="B801" s="12" t="s">
        <v>827</v>
      </c>
      <c r="L801" s="5" t="s">
        <v>26</v>
      </c>
      <c r="M801" s="7" t="b">
        <f t="shared" ca="1" si="42"/>
        <v>0</v>
      </c>
      <c r="N801" s="16" t="b">
        <f t="shared" ca="1" si="43"/>
        <v>0</v>
      </c>
    </row>
    <row r="802" spans="2:14" x14ac:dyDescent="0.35">
      <c r="B802" s="12" t="s">
        <v>828</v>
      </c>
      <c r="L802" s="5" t="s">
        <v>25</v>
      </c>
      <c r="M802" s="7" t="b">
        <f t="shared" ca="1" si="42"/>
        <v>0</v>
      </c>
      <c r="N802" s="16" t="b">
        <f t="shared" ca="1" si="43"/>
        <v>0</v>
      </c>
    </row>
    <row r="803" spans="2:14" x14ac:dyDescent="0.35">
      <c r="B803" s="12" t="s">
        <v>829</v>
      </c>
      <c r="L803" s="5" t="s">
        <v>26</v>
      </c>
      <c r="M803" s="7" t="b">
        <f t="shared" ca="1" si="42"/>
        <v>0</v>
      </c>
      <c r="N803" s="16" t="b">
        <f t="shared" ca="1" si="43"/>
        <v>0</v>
      </c>
    </row>
    <row r="804" spans="2:14" x14ac:dyDescent="0.35">
      <c r="B804" s="12" t="s">
        <v>830</v>
      </c>
      <c r="L804" s="5" t="s">
        <v>25</v>
      </c>
      <c r="M804" s="7" t="b">
        <f t="shared" ca="1" si="42"/>
        <v>0</v>
      </c>
      <c r="N804" s="16" t="b">
        <f t="shared" ca="1" si="43"/>
        <v>0</v>
      </c>
    </row>
    <row r="805" spans="2:14" x14ac:dyDescent="0.35">
      <c r="B805" s="12" t="s">
        <v>831</v>
      </c>
      <c r="L805" s="5" t="s">
        <v>26</v>
      </c>
      <c r="M805" s="7" t="b">
        <f t="shared" ca="1" si="42"/>
        <v>0</v>
      </c>
      <c r="N805" s="16" t="b">
        <f t="shared" ca="1" si="43"/>
        <v>0</v>
      </c>
    </row>
    <row r="806" spans="2:14" x14ac:dyDescent="0.35">
      <c r="B806" s="12" t="s">
        <v>832</v>
      </c>
      <c r="L806" s="5" t="s">
        <v>25</v>
      </c>
      <c r="M806" s="7" t="b">
        <f t="shared" ca="1" si="42"/>
        <v>0</v>
      </c>
      <c r="N806" s="16" t="b">
        <f t="shared" ca="1" si="43"/>
        <v>0</v>
      </c>
    </row>
    <row r="807" spans="2:14" x14ac:dyDescent="0.35">
      <c r="B807" s="12" t="s">
        <v>833</v>
      </c>
      <c r="L807" s="5" t="s">
        <v>26</v>
      </c>
      <c r="M807" s="7" t="b">
        <f t="shared" ca="1" si="42"/>
        <v>0</v>
      </c>
      <c r="N807" s="16" t="b">
        <f t="shared" ca="1" si="43"/>
        <v>0</v>
      </c>
    </row>
    <row r="808" spans="2:14" x14ac:dyDescent="0.35">
      <c r="B808" s="12" t="s">
        <v>834</v>
      </c>
      <c r="L808" s="5" t="s">
        <v>25</v>
      </c>
      <c r="M808" s="7" t="b">
        <f t="shared" ca="1" si="42"/>
        <v>0</v>
      </c>
      <c r="N808" s="16" t="b">
        <f t="shared" ca="1" si="43"/>
        <v>0</v>
      </c>
    </row>
    <row r="809" spans="2:14" x14ac:dyDescent="0.35">
      <c r="B809" s="12" t="s">
        <v>835</v>
      </c>
      <c r="L809" s="5" t="s">
        <v>26</v>
      </c>
      <c r="M809" s="7" t="b">
        <f t="shared" ca="1" si="42"/>
        <v>0</v>
      </c>
      <c r="N809" s="16" t="b">
        <f t="shared" ca="1" si="43"/>
        <v>0</v>
      </c>
    </row>
    <row r="810" spans="2:14" x14ac:dyDescent="0.35">
      <c r="B810" s="12" t="s">
        <v>836</v>
      </c>
      <c r="L810" s="5" t="s">
        <v>25</v>
      </c>
      <c r="M810" s="7" t="b">
        <f t="shared" ca="1" si="42"/>
        <v>0</v>
      </c>
      <c r="N810" s="16" t="b">
        <f t="shared" ca="1" si="43"/>
        <v>0</v>
      </c>
    </row>
    <row r="811" spans="2:14" x14ac:dyDescent="0.35">
      <c r="B811" s="12" t="s">
        <v>837</v>
      </c>
      <c r="L811" s="5" t="s">
        <v>26</v>
      </c>
      <c r="M811" s="7" t="b">
        <f t="shared" ca="1" si="42"/>
        <v>0</v>
      </c>
      <c r="N811" s="16" t="b">
        <f t="shared" ca="1" si="43"/>
        <v>0</v>
      </c>
    </row>
    <row r="812" spans="2:14" x14ac:dyDescent="0.35">
      <c r="B812" s="12" t="s">
        <v>838</v>
      </c>
      <c r="L812" s="5" t="s">
        <v>25</v>
      </c>
      <c r="M812" s="7" t="b">
        <f t="shared" ca="1" si="42"/>
        <v>0</v>
      </c>
      <c r="N812" s="16" t="b">
        <f t="shared" ca="1" si="43"/>
        <v>0</v>
      </c>
    </row>
    <row r="813" spans="2:14" x14ac:dyDescent="0.35">
      <c r="B813" s="12" t="s">
        <v>839</v>
      </c>
      <c r="L813" s="5" t="s">
        <v>26</v>
      </c>
      <c r="M813" s="7" t="b">
        <f t="shared" ca="1" si="42"/>
        <v>0</v>
      </c>
      <c r="N813" s="16" t="b">
        <f t="shared" ca="1" si="43"/>
        <v>0</v>
      </c>
    </row>
    <row r="814" spans="2:14" x14ac:dyDescent="0.35">
      <c r="B814" s="12" t="s">
        <v>840</v>
      </c>
      <c r="L814" s="5" t="s">
        <v>25</v>
      </c>
      <c r="M814" s="7" t="b">
        <f t="shared" ca="1" si="42"/>
        <v>0</v>
      </c>
      <c r="N814" s="16" t="b">
        <f t="shared" ca="1" si="43"/>
        <v>0</v>
      </c>
    </row>
    <row r="815" spans="2:14" x14ac:dyDescent="0.35">
      <c r="B815" s="12" t="s">
        <v>841</v>
      </c>
      <c r="L815" s="5" t="s">
        <v>26</v>
      </c>
      <c r="M815" s="7" t="b">
        <f t="shared" ca="1" si="42"/>
        <v>0</v>
      </c>
      <c r="N815" s="16" t="b">
        <f t="shared" ca="1" si="43"/>
        <v>0</v>
      </c>
    </row>
    <row r="816" spans="2:14" x14ac:dyDescent="0.35">
      <c r="B816" s="12" t="s">
        <v>842</v>
      </c>
      <c r="L816" s="5" t="s">
        <v>25</v>
      </c>
      <c r="M816" s="7" t="b">
        <f t="shared" ca="1" si="42"/>
        <v>0</v>
      </c>
      <c r="N816" s="16" t="b">
        <f t="shared" ca="1" si="43"/>
        <v>0</v>
      </c>
    </row>
    <row r="817" spans="2:14" x14ac:dyDescent="0.35">
      <c r="B817" s="12" t="s">
        <v>843</v>
      </c>
      <c r="L817" s="5" t="s">
        <v>26</v>
      </c>
      <c r="M817" s="7" t="b">
        <f t="shared" ca="1" si="42"/>
        <v>0</v>
      </c>
      <c r="N817" s="16" t="b">
        <f t="shared" ca="1" si="43"/>
        <v>0</v>
      </c>
    </row>
    <row r="818" spans="2:14" x14ac:dyDescent="0.35">
      <c r="B818" s="12" t="s">
        <v>844</v>
      </c>
      <c r="L818" s="5" t="s">
        <v>25</v>
      </c>
      <c r="M818" s="7" t="b">
        <f t="shared" ca="1" si="42"/>
        <v>0</v>
      </c>
      <c r="N818" s="16" t="b">
        <f t="shared" ca="1" si="43"/>
        <v>0</v>
      </c>
    </row>
    <row r="819" spans="2:14" x14ac:dyDescent="0.35">
      <c r="B819" s="12" t="s">
        <v>845</v>
      </c>
      <c r="L819" s="5" t="s">
        <v>26</v>
      </c>
      <c r="M819" s="7" t="b">
        <f t="shared" ca="1" si="42"/>
        <v>0</v>
      </c>
      <c r="N819" s="16" t="b">
        <f t="shared" ca="1" si="43"/>
        <v>0</v>
      </c>
    </row>
    <row r="820" spans="2:14" x14ac:dyDescent="0.35">
      <c r="B820" s="12" t="s">
        <v>846</v>
      </c>
      <c r="L820" s="5" t="s">
        <v>25</v>
      </c>
      <c r="M820" s="7" t="b">
        <f t="shared" ca="1" si="42"/>
        <v>0</v>
      </c>
      <c r="N820" s="16" t="b">
        <f t="shared" ca="1" si="43"/>
        <v>0</v>
      </c>
    </row>
    <row r="821" spans="2:14" x14ac:dyDescent="0.35">
      <c r="B821" s="12" t="s">
        <v>847</v>
      </c>
      <c r="L821" s="5" t="s">
        <v>26</v>
      </c>
      <c r="M821" s="7" t="b">
        <f t="shared" ca="1" si="42"/>
        <v>0</v>
      </c>
      <c r="N821" s="16" t="b">
        <f t="shared" ca="1" si="43"/>
        <v>0</v>
      </c>
    </row>
    <row r="822" spans="2:14" x14ac:dyDescent="0.35">
      <c r="B822" s="12" t="s">
        <v>848</v>
      </c>
      <c r="L822" s="5" t="s">
        <v>25</v>
      </c>
      <c r="M822" s="7" t="b">
        <f t="shared" ca="1" si="42"/>
        <v>0</v>
      </c>
      <c r="N822" s="16" t="b">
        <f t="shared" ca="1" si="43"/>
        <v>0</v>
      </c>
    </row>
    <row r="823" spans="2:14" x14ac:dyDescent="0.35">
      <c r="B823" s="12" t="s">
        <v>849</v>
      </c>
      <c r="L823" s="5" t="s">
        <v>26</v>
      </c>
      <c r="M823" s="7" t="b">
        <f t="shared" ca="1" si="42"/>
        <v>0</v>
      </c>
      <c r="N823" s="16" t="b">
        <f t="shared" ca="1" si="43"/>
        <v>0</v>
      </c>
    </row>
    <row r="824" spans="2:14" x14ac:dyDescent="0.35">
      <c r="B824" s="12" t="s">
        <v>850</v>
      </c>
      <c r="L824" s="5" t="s">
        <v>25</v>
      </c>
      <c r="M824" s="7" t="b">
        <f t="shared" ca="1" si="42"/>
        <v>0</v>
      </c>
      <c r="N824" s="16" t="b">
        <f t="shared" ca="1" si="43"/>
        <v>0</v>
      </c>
    </row>
    <row r="825" spans="2:14" x14ac:dyDescent="0.35">
      <c r="B825" s="12" t="s">
        <v>851</v>
      </c>
      <c r="L825" s="5" t="s">
        <v>26</v>
      </c>
      <c r="M825" s="7" t="b">
        <f t="shared" ca="1" si="42"/>
        <v>0</v>
      </c>
      <c r="N825" s="16" t="b">
        <f t="shared" ca="1" si="43"/>
        <v>0</v>
      </c>
    </row>
    <row r="826" spans="2:14" x14ac:dyDescent="0.35">
      <c r="B826" s="12" t="s">
        <v>852</v>
      </c>
      <c r="L826" s="5" t="s">
        <v>25</v>
      </c>
      <c r="M826" s="7" t="b">
        <f t="shared" ca="1" si="42"/>
        <v>0</v>
      </c>
      <c r="N826" s="16" t="b">
        <f t="shared" ca="1" si="43"/>
        <v>0</v>
      </c>
    </row>
    <row r="827" spans="2:14" x14ac:dyDescent="0.35">
      <c r="B827" s="12" t="s">
        <v>853</v>
      </c>
      <c r="L827" s="5" t="s">
        <v>26</v>
      </c>
      <c r="M827" s="7" t="b">
        <f t="shared" ca="1" si="42"/>
        <v>0</v>
      </c>
      <c r="N827" s="16" t="b">
        <f t="shared" ca="1" si="43"/>
        <v>0</v>
      </c>
    </row>
    <row r="828" spans="2:14" x14ac:dyDescent="0.35">
      <c r="B828" s="12" t="s">
        <v>854</v>
      </c>
      <c r="L828" s="5" t="s">
        <v>25</v>
      </c>
      <c r="M828" s="7" t="b">
        <f t="shared" ca="1" si="42"/>
        <v>0</v>
      </c>
      <c r="N828" s="16" t="b">
        <f t="shared" ca="1" si="43"/>
        <v>0</v>
      </c>
    </row>
    <row r="829" spans="2:14" x14ac:dyDescent="0.35">
      <c r="B829" s="12" t="s">
        <v>855</v>
      </c>
      <c r="L829" s="5" t="s">
        <v>26</v>
      </c>
      <c r="M829" s="7" t="b">
        <f t="shared" ca="1" si="42"/>
        <v>0</v>
      </c>
      <c r="N829" s="16" t="b">
        <f t="shared" ca="1" si="43"/>
        <v>0</v>
      </c>
    </row>
    <row r="830" spans="2:14" x14ac:dyDescent="0.35">
      <c r="B830" s="12" t="s">
        <v>856</v>
      </c>
      <c r="L830" s="5" t="s">
        <v>25</v>
      </c>
      <c r="M830" s="7" t="b">
        <f t="shared" ca="1" si="42"/>
        <v>0</v>
      </c>
      <c r="N830" s="16" t="b">
        <f t="shared" ca="1" si="43"/>
        <v>0</v>
      </c>
    </row>
    <row r="831" spans="2:14" x14ac:dyDescent="0.35">
      <c r="B831" s="12" t="s">
        <v>857</v>
      </c>
      <c r="L831" s="5" t="s">
        <v>26</v>
      </c>
      <c r="M831" s="7" t="b">
        <f t="shared" ca="1" si="42"/>
        <v>0</v>
      </c>
      <c r="N831" s="16" t="b">
        <f t="shared" ca="1" si="43"/>
        <v>0</v>
      </c>
    </row>
    <row r="832" spans="2:14" x14ac:dyDescent="0.35">
      <c r="B832" s="12" t="s">
        <v>858</v>
      </c>
      <c r="L832" s="5" t="s">
        <v>25</v>
      </c>
      <c r="M832" s="7" t="b">
        <f t="shared" ca="1" si="42"/>
        <v>0</v>
      </c>
      <c r="N832" s="16" t="b">
        <f t="shared" ca="1" si="43"/>
        <v>0</v>
      </c>
    </row>
    <row r="833" spans="2:14" x14ac:dyDescent="0.35">
      <c r="B833" s="12" t="s">
        <v>859</v>
      </c>
      <c r="L833" s="5" t="s">
        <v>26</v>
      </c>
      <c r="M833" s="7" t="b">
        <f t="shared" ca="1" si="42"/>
        <v>0</v>
      </c>
      <c r="N833" s="16" t="b">
        <f t="shared" ca="1" si="43"/>
        <v>0</v>
      </c>
    </row>
    <row r="834" spans="2:14" x14ac:dyDescent="0.35">
      <c r="B834" s="12" t="s">
        <v>860</v>
      </c>
      <c r="L834" s="5" t="s">
        <v>25</v>
      </c>
      <c r="M834" s="7" t="b">
        <f t="shared" ca="1" si="42"/>
        <v>0</v>
      </c>
      <c r="N834" s="16" t="b">
        <f t="shared" ca="1" si="43"/>
        <v>0</v>
      </c>
    </row>
    <row r="835" spans="2:14" x14ac:dyDescent="0.35">
      <c r="B835" s="12" t="s">
        <v>861</v>
      </c>
      <c r="L835" s="5" t="s">
        <v>26</v>
      </c>
      <c r="M835" s="7" t="b">
        <f t="shared" ref="M835:M898" ca="1" si="44">AND(A835&gt;=(TODAY()-28),A835&lt;TODAY())</f>
        <v>0</v>
      </c>
      <c r="N835" s="16" t="b">
        <f t="shared" ref="N835:N898" ca="1" si="45">AND(A835&gt;=(TODAY()-56),A835&lt;(TODAY()-28))</f>
        <v>0</v>
      </c>
    </row>
    <row r="836" spans="2:14" x14ac:dyDescent="0.35">
      <c r="B836" s="12" t="s">
        <v>862</v>
      </c>
      <c r="L836" s="5" t="s">
        <v>25</v>
      </c>
      <c r="M836" s="7" t="b">
        <f t="shared" ca="1" si="44"/>
        <v>0</v>
      </c>
      <c r="N836" s="16" t="b">
        <f t="shared" ca="1" si="45"/>
        <v>0</v>
      </c>
    </row>
    <row r="837" spans="2:14" x14ac:dyDescent="0.35">
      <c r="B837" s="12" t="s">
        <v>863</v>
      </c>
      <c r="L837" s="5" t="s">
        <v>26</v>
      </c>
      <c r="M837" s="7" t="b">
        <f t="shared" ca="1" si="44"/>
        <v>0</v>
      </c>
      <c r="N837" s="16" t="b">
        <f t="shared" ca="1" si="45"/>
        <v>0</v>
      </c>
    </row>
    <row r="838" spans="2:14" x14ac:dyDescent="0.35">
      <c r="B838" s="12" t="s">
        <v>864</v>
      </c>
      <c r="L838" s="5" t="s">
        <v>25</v>
      </c>
      <c r="M838" s="7" t="b">
        <f t="shared" ca="1" si="44"/>
        <v>0</v>
      </c>
      <c r="N838" s="16" t="b">
        <f t="shared" ca="1" si="45"/>
        <v>0</v>
      </c>
    </row>
    <row r="839" spans="2:14" x14ac:dyDescent="0.35">
      <c r="B839" s="12" t="s">
        <v>865</v>
      </c>
      <c r="L839" s="5" t="s">
        <v>26</v>
      </c>
      <c r="M839" s="7" t="b">
        <f t="shared" ca="1" si="44"/>
        <v>0</v>
      </c>
      <c r="N839" s="16" t="b">
        <f t="shared" ca="1" si="45"/>
        <v>0</v>
      </c>
    </row>
    <row r="840" spans="2:14" x14ac:dyDescent="0.35">
      <c r="B840" s="12" t="s">
        <v>866</v>
      </c>
      <c r="L840" s="5" t="s">
        <v>25</v>
      </c>
      <c r="M840" s="7" t="b">
        <f t="shared" ca="1" si="44"/>
        <v>0</v>
      </c>
      <c r="N840" s="16" t="b">
        <f t="shared" ca="1" si="45"/>
        <v>0</v>
      </c>
    </row>
    <row r="841" spans="2:14" x14ac:dyDescent="0.35">
      <c r="B841" s="12" t="s">
        <v>867</v>
      </c>
      <c r="L841" s="5" t="s">
        <v>26</v>
      </c>
      <c r="M841" s="7" t="b">
        <f t="shared" ca="1" si="44"/>
        <v>0</v>
      </c>
      <c r="N841" s="16" t="b">
        <f t="shared" ca="1" si="45"/>
        <v>0</v>
      </c>
    </row>
    <row r="842" spans="2:14" x14ac:dyDescent="0.35">
      <c r="B842" s="12" t="s">
        <v>868</v>
      </c>
      <c r="L842" s="5" t="s">
        <v>25</v>
      </c>
      <c r="M842" s="7" t="b">
        <f t="shared" ca="1" si="44"/>
        <v>0</v>
      </c>
      <c r="N842" s="16" t="b">
        <f t="shared" ca="1" si="45"/>
        <v>0</v>
      </c>
    </row>
    <row r="843" spans="2:14" x14ac:dyDescent="0.35">
      <c r="B843" s="12" t="s">
        <v>869</v>
      </c>
      <c r="L843" s="5" t="s">
        <v>26</v>
      </c>
      <c r="M843" s="7" t="b">
        <f t="shared" ca="1" si="44"/>
        <v>0</v>
      </c>
      <c r="N843" s="16" t="b">
        <f t="shared" ca="1" si="45"/>
        <v>0</v>
      </c>
    </row>
    <row r="844" spans="2:14" x14ac:dyDescent="0.35">
      <c r="B844" s="12" t="s">
        <v>870</v>
      </c>
      <c r="L844" s="5" t="s">
        <v>25</v>
      </c>
      <c r="M844" s="7" t="b">
        <f t="shared" ca="1" si="44"/>
        <v>0</v>
      </c>
      <c r="N844" s="16" t="b">
        <f t="shared" ca="1" si="45"/>
        <v>0</v>
      </c>
    </row>
    <row r="845" spans="2:14" x14ac:dyDescent="0.35">
      <c r="B845" s="12" t="s">
        <v>871</v>
      </c>
      <c r="L845" s="5" t="s">
        <v>26</v>
      </c>
      <c r="M845" s="7" t="b">
        <f t="shared" ca="1" si="44"/>
        <v>0</v>
      </c>
      <c r="N845" s="16" t="b">
        <f t="shared" ca="1" si="45"/>
        <v>0</v>
      </c>
    </row>
    <row r="846" spans="2:14" x14ac:dyDescent="0.35">
      <c r="B846" s="12" t="s">
        <v>872</v>
      </c>
      <c r="L846" s="5" t="s">
        <v>25</v>
      </c>
      <c r="M846" s="7" t="b">
        <f t="shared" ca="1" si="44"/>
        <v>0</v>
      </c>
      <c r="N846" s="16" t="b">
        <f t="shared" ca="1" si="45"/>
        <v>0</v>
      </c>
    </row>
    <row r="847" spans="2:14" x14ac:dyDescent="0.35">
      <c r="B847" s="12" t="s">
        <v>873</v>
      </c>
      <c r="L847" s="5" t="s">
        <v>26</v>
      </c>
      <c r="M847" s="7" t="b">
        <f t="shared" ca="1" si="44"/>
        <v>0</v>
      </c>
      <c r="N847" s="16" t="b">
        <f t="shared" ca="1" si="45"/>
        <v>0</v>
      </c>
    </row>
    <row r="848" spans="2:14" x14ac:dyDescent="0.35">
      <c r="B848" s="12" t="s">
        <v>874</v>
      </c>
      <c r="L848" s="5" t="s">
        <v>25</v>
      </c>
      <c r="M848" s="7" t="b">
        <f t="shared" ca="1" si="44"/>
        <v>0</v>
      </c>
      <c r="N848" s="16" t="b">
        <f t="shared" ca="1" si="45"/>
        <v>0</v>
      </c>
    </row>
    <row r="849" spans="2:14" x14ac:dyDescent="0.35">
      <c r="B849" s="12" t="s">
        <v>875</v>
      </c>
      <c r="L849" s="5" t="s">
        <v>26</v>
      </c>
      <c r="M849" s="7" t="b">
        <f t="shared" ca="1" si="44"/>
        <v>0</v>
      </c>
      <c r="N849" s="16" t="b">
        <f t="shared" ca="1" si="45"/>
        <v>0</v>
      </c>
    </row>
    <row r="850" spans="2:14" x14ac:dyDescent="0.35">
      <c r="B850" s="12" t="s">
        <v>876</v>
      </c>
      <c r="L850" s="5" t="s">
        <v>25</v>
      </c>
      <c r="M850" s="7" t="b">
        <f t="shared" ca="1" si="44"/>
        <v>0</v>
      </c>
      <c r="N850" s="16" t="b">
        <f t="shared" ca="1" si="45"/>
        <v>0</v>
      </c>
    </row>
    <row r="851" spans="2:14" x14ac:dyDescent="0.35">
      <c r="B851" s="12" t="s">
        <v>877</v>
      </c>
      <c r="L851" s="5" t="s">
        <v>26</v>
      </c>
      <c r="M851" s="7" t="b">
        <f t="shared" ca="1" si="44"/>
        <v>0</v>
      </c>
      <c r="N851" s="16" t="b">
        <f t="shared" ca="1" si="45"/>
        <v>0</v>
      </c>
    </row>
    <row r="852" spans="2:14" x14ac:dyDescent="0.35">
      <c r="B852" s="12" t="s">
        <v>878</v>
      </c>
      <c r="L852" s="5" t="s">
        <v>25</v>
      </c>
      <c r="M852" s="7" t="b">
        <f t="shared" ca="1" si="44"/>
        <v>0</v>
      </c>
      <c r="N852" s="16" t="b">
        <f t="shared" ca="1" si="45"/>
        <v>0</v>
      </c>
    </row>
    <row r="853" spans="2:14" x14ac:dyDescent="0.35">
      <c r="B853" s="12" t="s">
        <v>879</v>
      </c>
      <c r="L853" s="5" t="s">
        <v>26</v>
      </c>
      <c r="M853" s="7" t="b">
        <f t="shared" ca="1" si="44"/>
        <v>0</v>
      </c>
      <c r="N853" s="16" t="b">
        <f t="shared" ca="1" si="45"/>
        <v>0</v>
      </c>
    </row>
    <row r="854" spans="2:14" x14ac:dyDescent="0.35">
      <c r="B854" s="12" t="s">
        <v>880</v>
      </c>
      <c r="L854" s="5" t="s">
        <v>25</v>
      </c>
      <c r="M854" s="7" t="b">
        <f t="shared" ca="1" si="44"/>
        <v>0</v>
      </c>
      <c r="N854" s="16" t="b">
        <f t="shared" ca="1" si="45"/>
        <v>0</v>
      </c>
    </row>
    <row r="855" spans="2:14" x14ac:dyDescent="0.35">
      <c r="B855" s="12" t="s">
        <v>881</v>
      </c>
      <c r="L855" s="5" t="s">
        <v>26</v>
      </c>
      <c r="M855" s="7" t="b">
        <f t="shared" ca="1" si="44"/>
        <v>0</v>
      </c>
      <c r="N855" s="16" t="b">
        <f t="shared" ca="1" si="45"/>
        <v>0</v>
      </c>
    </row>
    <row r="856" spans="2:14" x14ac:dyDescent="0.35">
      <c r="B856" s="12" t="s">
        <v>882</v>
      </c>
      <c r="L856" s="5" t="s">
        <v>25</v>
      </c>
      <c r="M856" s="7" t="b">
        <f t="shared" ca="1" si="44"/>
        <v>0</v>
      </c>
      <c r="N856" s="16" t="b">
        <f t="shared" ca="1" si="45"/>
        <v>0</v>
      </c>
    </row>
    <row r="857" spans="2:14" x14ac:dyDescent="0.35">
      <c r="B857" s="12" t="s">
        <v>883</v>
      </c>
      <c r="L857" s="5" t="s">
        <v>26</v>
      </c>
      <c r="M857" s="7" t="b">
        <f t="shared" ca="1" si="44"/>
        <v>0</v>
      </c>
      <c r="N857" s="16" t="b">
        <f t="shared" ca="1" si="45"/>
        <v>0</v>
      </c>
    </row>
    <row r="858" spans="2:14" x14ac:dyDescent="0.35">
      <c r="B858" s="12" t="s">
        <v>884</v>
      </c>
      <c r="L858" s="5" t="s">
        <v>25</v>
      </c>
      <c r="M858" s="7" t="b">
        <f t="shared" ca="1" si="44"/>
        <v>0</v>
      </c>
      <c r="N858" s="16" t="b">
        <f t="shared" ca="1" si="45"/>
        <v>0</v>
      </c>
    </row>
    <row r="859" spans="2:14" x14ac:dyDescent="0.35">
      <c r="B859" s="12" t="s">
        <v>885</v>
      </c>
      <c r="L859" s="5" t="s">
        <v>26</v>
      </c>
      <c r="M859" s="7" t="b">
        <f t="shared" ca="1" si="44"/>
        <v>0</v>
      </c>
      <c r="N859" s="16" t="b">
        <f t="shared" ca="1" si="45"/>
        <v>0</v>
      </c>
    </row>
    <row r="860" spans="2:14" x14ac:dyDescent="0.35">
      <c r="B860" s="12" t="s">
        <v>886</v>
      </c>
      <c r="L860" s="5" t="s">
        <v>25</v>
      </c>
      <c r="M860" s="7" t="b">
        <f t="shared" ca="1" si="44"/>
        <v>0</v>
      </c>
      <c r="N860" s="16" t="b">
        <f t="shared" ca="1" si="45"/>
        <v>0</v>
      </c>
    </row>
    <row r="861" spans="2:14" x14ac:dyDescent="0.35">
      <c r="B861" s="12" t="s">
        <v>887</v>
      </c>
      <c r="L861" s="5" t="s">
        <v>26</v>
      </c>
      <c r="M861" s="7" t="b">
        <f t="shared" ca="1" si="44"/>
        <v>0</v>
      </c>
      <c r="N861" s="16" t="b">
        <f t="shared" ca="1" si="45"/>
        <v>0</v>
      </c>
    </row>
    <row r="862" spans="2:14" x14ac:dyDescent="0.35">
      <c r="B862" s="12" t="s">
        <v>888</v>
      </c>
      <c r="L862" s="5" t="s">
        <v>25</v>
      </c>
      <c r="M862" s="7" t="b">
        <f t="shared" ca="1" si="44"/>
        <v>0</v>
      </c>
      <c r="N862" s="16" t="b">
        <f t="shared" ca="1" si="45"/>
        <v>0</v>
      </c>
    </row>
    <row r="863" spans="2:14" x14ac:dyDescent="0.35">
      <c r="B863" s="12" t="s">
        <v>889</v>
      </c>
      <c r="L863" s="5" t="s">
        <v>26</v>
      </c>
      <c r="M863" s="7" t="b">
        <f t="shared" ca="1" si="44"/>
        <v>0</v>
      </c>
      <c r="N863" s="16" t="b">
        <f t="shared" ca="1" si="45"/>
        <v>0</v>
      </c>
    </row>
    <row r="864" spans="2:14" x14ac:dyDescent="0.35">
      <c r="B864" s="12" t="s">
        <v>890</v>
      </c>
      <c r="L864" s="5" t="s">
        <v>25</v>
      </c>
      <c r="M864" s="7" t="b">
        <f t="shared" ca="1" si="44"/>
        <v>0</v>
      </c>
      <c r="N864" s="16" t="b">
        <f t="shared" ca="1" si="45"/>
        <v>0</v>
      </c>
    </row>
    <row r="865" spans="2:14" x14ac:dyDescent="0.35">
      <c r="B865" s="12" t="s">
        <v>891</v>
      </c>
      <c r="L865" s="5" t="s">
        <v>26</v>
      </c>
      <c r="M865" s="7" t="b">
        <f t="shared" ca="1" si="44"/>
        <v>0</v>
      </c>
      <c r="N865" s="16" t="b">
        <f t="shared" ca="1" si="45"/>
        <v>0</v>
      </c>
    </row>
    <row r="866" spans="2:14" x14ac:dyDescent="0.35">
      <c r="B866" s="12" t="s">
        <v>892</v>
      </c>
      <c r="L866" s="5" t="s">
        <v>25</v>
      </c>
      <c r="M866" s="7" t="b">
        <f t="shared" ca="1" si="44"/>
        <v>0</v>
      </c>
      <c r="N866" s="16" t="b">
        <f t="shared" ca="1" si="45"/>
        <v>0</v>
      </c>
    </row>
    <row r="867" spans="2:14" x14ac:dyDescent="0.35">
      <c r="B867" s="12" t="s">
        <v>893</v>
      </c>
      <c r="L867" s="5" t="s">
        <v>26</v>
      </c>
      <c r="M867" s="7" t="b">
        <f t="shared" ca="1" si="44"/>
        <v>0</v>
      </c>
      <c r="N867" s="16" t="b">
        <f t="shared" ca="1" si="45"/>
        <v>0</v>
      </c>
    </row>
    <row r="868" spans="2:14" x14ac:dyDescent="0.35">
      <c r="B868" s="12" t="s">
        <v>894</v>
      </c>
      <c r="L868" s="5" t="s">
        <v>25</v>
      </c>
      <c r="M868" s="7" t="b">
        <f t="shared" ca="1" si="44"/>
        <v>0</v>
      </c>
      <c r="N868" s="16" t="b">
        <f t="shared" ca="1" si="45"/>
        <v>0</v>
      </c>
    </row>
    <row r="869" spans="2:14" x14ac:dyDescent="0.35">
      <c r="B869" s="12" t="s">
        <v>895</v>
      </c>
      <c r="L869" s="5" t="s">
        <v>26</v>
      </c>
      <c r="M869" s="7" t="b">
        <f t="shared" ca="1" si="44"/>
        <v>0</v>
      </c>
      <c r="N869" s="16" t="b">
        <f t="shared" ca="1" si="45"/>
        <v>0</v>
      </c>
    </row>
    <row r="870" spans="2:14" x14ac:dyDescent="0.35">
      <c r="B870" s="12" t="s">
        <v>896</v>
      </c>
      <c r="L870" s="5" t="s">
        <v>25</v>
      </c>
      <c r="M870" s="7" t="b">
        <f t="shared" ca="1" si="44"/>
        <v>0</v>
      </c>
      <c r="N870" s="16" t="b">
        <f t="shared" ca="1" si="45"/>
        <v>0</v>
      </c>
    </row>
    <row r="871" spans="2:14" x14ac:dyDescent="0.35">
      <c r="B871" s="12" t="s">
        <v>897</v>
      </c>
      <c r="L871" s="5" t="s">
        <v>26</v>
      </c>
      <c r="M871" s="7" t="b">
        <f t="shared" ca="1" si="44"/>
        <v>0</v>
      </c>
      <c r="N871" s="16" t="b">
        <f t="shared" ca="1" si="45"/>
        <v>0</v>
      </c>
    </row>
    <row r="872" spans="2:14" x14ac:dyDescent="0.35">
      <c r="B872" s="12" t="s">
        <v>898</v>
      </c>
      <c r="L872" s="5" t="s">
        <v>25</v>
      </c>
      <c r="M872" s="7" t="b">
        <f t="shared" ca="1" si="44"/>
        <v>0</v>
      </c>
      <c r="N872" s="16" t="b">
        <f t="shared" ca="1" si="45"/>
        <v>0</v>
      </c>
    </row>
    <row r="873" spans="2:14" x14ac:dyDescent="0.35">
      <c r="B873" s="12" t="s">
        <v>899</v>
      </c>
      <c r="L873" s="5" t="s">
        <v>26</v>
      </c>
      <c r="M873" s="7" t="b">
        <f t="shared" ca="1" si="44"/>
        <v>0</v>
      </c>
      <c r="N873" s="16" t="b">
        <f t="shared" ca="1" si="45"/>
        <v>0</v>
      </c>
    </row>
    <row r="874" spans="2:14" x14ac:dyDescent="0.35">
      <c r="B874" s="12" t="s">
        <v>900</v>
      </c>
      <c r="L874" s="5" t="s">
        <v>25</v>
      </c>
      <c r="M874" s="7" t="b">
        <f t="shared" ca="1" si="44"/>
        <v>0</v>
      </c>
      <c r="N874" s="16" t="b">
        <f t="shared" ca="1" si="45"/>
        <v>0</v>
      </c>
    </row>
    <row r="875" spans="2:14" x14ac:dyDescent="0.35">
      <c r="B875" s="12" t="s">
        <v>901</v>
      </c>
      <c r="L875" s="5" t="s">
        <v>26</v>
      </c>
      <c r="M875" s="7" t="b">
        <f t="shared" ca="1" si="44"/>
        <v>0</v>
      </c>
      <c r="N875" s="16" t="b">
        <f t="shared" ca="1" si="45"/>
        <v>0</v>
      </c>
    </row>
    <row r="876" spans="2:14" x14ac:dyDescent="0.35">
      <c r="B876" s="12" t="s">
        <v>902</v>
      </c>
      <c r="L876" s="5" t="s">
        <v>25</v>
      </c>
      <c r="M876" s="7" t="b">
        <f t="shared" ca="1" si="44"/>
        <v>0</v>
      </c>
      <c r="N876" s="16" t="b">
        <f t="shared" ca="1" si="45"/>
        <v>0</v>
      </c>
    </row>
    <row r="877" spans="2:14" x14ac:dyDescent="0.35">
      <c r="B877" s="12" t="s">
        <v>903</v>
      </c>
      <c r="L877" s="5" t="s">
        <v>26</v>
      </c>
      <c r="M877" s="7" t="b">
        <f t="shared" ca="1" si="44"/>
        <v>0</v>
      </c>
      <c r="N877" s="16" t="b">
        <f t="shared" ca="1" si="45"/>
        <v>0</v>
      </c>
    </row>
    <row r="878" spans="2:14" x14ac:dyDescent="0.35">
      <c r="B878" s="12" t="s">
        <v>904</v>
      </c>
      <c r="L878" s="5" t="s">
        <v>25</v>
      </c>
      <c r="M878" s="7" t="b">
        <f t="shared" ca="1" si="44"/>
        <v>0</v>
      </c>
      <c r="N878" s="16" t="b">
        <f t="shared" ca="1" si="45"/>
        <v>0</v>
      </c>
    </row>
    <row r="879" spans="2:14" x14ac:dyDescent="0.35">
      <c r="B879" s="12" t="s">
        <v>905</v>
      </c>
      <c r="L879" s="5" t="s">
        <v>26</v>
      </c>
      <c r="M879" s="7" t="b">
        <f t="shared" ca="1" si="44"/>
        <v>0</v>
      </c>
      <c r="N879" s="16" t="b">
        <f t="shared" ca="1" si="45"/>
        <v>0</v>
      </c>
    </row>
    <row r="880" spans="2:14" x14ac:dyDescent="0.35">
      <c r="B880" s="12" t="s">
        <v>906</v>
      </c>
      <c r="L880" s="5" t="s">
        <v>25</v>
      </c>
      <c r="M880" s="7" t="b">
        <f t="shared" ca="1" si="44"/>
        <v>0</v>
      </c>
      <c r="N880" s="16" t="b">
        <f t="shared" ca="1" si="45"/>
        <v>0</v>
      </c>
    </row>
    <row r="881" spans="2:14" x14ac:dyDescent="0.35">
      <c r="B881" s="12" t="s">
        <v>907</v>
      </c>
      <c r="L881" s="5" t="s">
        <v>26</v>
      </c>
      <c r="M881" s="7" t="b">
        <f t="shared" ca="1" si="44"/>
        <v>0</v>
      </c>
      <c r="N881" s="16" t="b">
        <f t="shared" ca="1" si="45"/>
        <v>0</v>
      </c>
    </row>
    <row r="882" spans="2:14" x14ac:dyDescent="0.35">
      <c r="B882" s="12" t="s">
        <v>908</v>
      </c>
      <c r="L882" s="5" t="s">
        <v>25</v>
      </c>
      <c r="M882" s="7" t="b">
        <f t="shared" ca="1" si="44"/>
        <v>0</v>
      </c>
      <c r="N882" s="16" t="b">
        <f t="shared" ca="1" si="45"/>
        <v>0</v>
      </c>
    </row>
    <row r="883" spans="2:14" x14ac:dyDescent="0.35">
      <c r="B883" s="12" t="s">
        <v>909</v>
      </c>
      <c r="L883" s="5" t="s">
        <v>26</v>
      </c>
      <c r="M883" s="7" t="b">
        <f t="shared" ca="1" si="44"/>
        <v>0</v>
      </c>
      <c r="N883" s="16" t="b">
        <f t="shared" ca="1" si="45"/>
        <v>0</v>
      </c>
    </row>
    <row r="884" spans="2:14" x14ac:dyDescent="0.35">
      <c r="B884" s="12" t="s">
        <v>910</v>
      </c>
      <c r="L884" s="5" t="s">
        <v>25</v>
      </c>
      <c r="M884" s="7" t="b">
        <f t="shared" ca="1" si="44"/>
        <v>0</v>
      </c>
      <c r="N884" s="16" t="b">
        <f t="shared" ca="1" si="45"/>
        <v>0</v>
      </c>
    </row>
    <row r="885" spans="2:14" x14ac:dyDescent="0.35">
      <c r="B885" s="12" t="s">
        <v>911</v>
      </c>
      <c r="L885" s="5" t="s">
        <v>26</v>
      </c>
      <c r="M885" s="7" t="b">
        <f t="shared" ca="1" si="44"/>
        <v>0</v>
      </c>
      <c r="N885" s="16" t="b">
        <f t="shared" ca="1" si="45"/>
        <v>0</v>
      </c>
    </row>
    <row r="886" spans="2:14" x14ac:dyDescent="0.35">
      <c r="B886" s="12" t="s">
        <v>912</v>
      </c>
      <c r="L886" s="5" t="s">
        <v>25</v>
      </c>
      <c r="M886" s="7" t="b">
        <f t="shared" ca="1" si="44"/>
        <v>0</v>
      </c>
      <c r="N886" s="16" t="b">
        <f t="shared" ca="1" si="45"/>
        <v>0</v>
      </c>
    </row>
    <row r="887" spans="2:14" x14ac:dyDescent="0.35">
      <c r="B887" s="12" t="s">
        <v>913</v>
      </c>
      <c r="L887" s="5" t="s">
        <v>26</v>
      </c>
      <c r="M887" s="7" t="b">
        <f t="shared" ca="1" si="44"/>
        <v>0</v>
      </c>
      <c r="N887" s="16" t="b">
        <f t="shared" ca="1" si="45"/>
        <v>0</v>
      </c>
    </row>
    <row r="888" spans="2:14" x14ac:dyDescent="0.35">
      <c r="B888" s="12" t="s">
        <v>914</v>
      </c>
      <c r="L888" s="5" t="s">
        <v>25</v>
      </c>
      <c r="M888" s="7" t="b">
        <f t="shared" ca="1" si="44"/>
        <v>0</v>
      </c>
      <c r="N888" s="16" t="b">
        <f t="shared" ca="1" si="45"/>
        <v>0</v>
      </c>
    </row>
    <row r="889" spans="2:14" x14ac:dyDescent="0.35">
      <c r="B889" s="12" t="s">
        <v>915</v>
      </c>
      <c r="L889" s="5" t="s">
        <v>26</v>
      </c>
      <c r="M889" s="7" t="b">
        <f t="shared" ca="1" si="44"/>
        <v>0</v>
      </c>
      <c r="N889" s="16" t="b">
        <f t="shared" ca="1" si="45"/>
        <v>0</v>
      </c>
    </row>
    <row r="890" spans="2:14" x14ac:dyDescent="0.35">
      <c r="B890" s="12" t="s">
        <v>916</v>
      </c>
      <c r="L890" s="5" t="s">
        <v>25</v>
      </c>
      <c r="M890" s="7" t="b">
        <f t="shared" ca="1" si="44"/>
        <v>0</v>
      </c>
      <c r="N890" s="16" t="b">
        <f t="shared" ca="1" si="45"/>
        <v>0</v>
      </c>
    </row>
    <row r="891" spans="2:14" x14ac:dyDescent="0.35">
      <c r="B891" s="12" t="s">
        <v>917</v>
      </c>
      <c r="L891" s="5" t="s">
        <v>26</v>
      </c>
      <c r="M891" s="7" t="b">
        <f t="shared" ca="1" si="44"/>
        <v>0</v>
      </c>
      <c r="N891" s="16" t="b">
        <f t="shared" ca="1" si="45"/>
        <v>0</v>
      </c>
    </row>
    <row r="892" spans="2:14" x14ac:dyDescent="0.35">
      <c r="B892" s="12" t="s">
        <v>918</v>
      </c>
      <c r="L892" s="5" t="s">
        <v>25</v>
      </c>
      <c r="M892" s="7" t="b">
        <f t="shared" ca="1" si="44"/>
        <v>0</v>
      </c>
      <c r="N892" s="16" t="b">
        <f t="shared" ca="1" si="45"/>
        <v>0</v>
      </c>
    </row>
    <row r="893" spans="2:14" x14ac:dyDescent="0.35">
      <c r="B893" s="12" t="s">
        <v>919</v>
      </c>
      <c r="L893" s="5" t="s">
        <v>26</v>
      </c>
      <c r="M893" s="7" t="b">
        <f t="shared" ca="1" si="44"/>
        <v>0</v>
      </c>
      <c r="N893" s="16" t="b">
        <f t="shared" ca="1" si="45"/>
        <v>0</v>
      </c>
    </row>
    <row r="894" spans="2:14" x14ac:dyDescent="0.35">
      <c r="B894" s="12" t="s">
        <v>920</v>
      </c>
      <c r="L894" s="5" t="s">
        <v>25</v>
      </c>
      <c r="M894" s="7" t="b">
        <f t="shared" ca="1" si="44"/>
        <v>0</v>
      </c>
      <c r="N894" s="16" t="b">
        <f t="shared" ca="1" si="45"/>
        <v>0</v>
      </c>
    </row>
    <row r="895" spans="2:14" x14ac:dyDescent="0.35">
      <c r="B895" s="12" t="s">
        <v>921</v>
      </c>
      <c r="L895" s="5" t="s">
        <v>26</v>
      </c>
      <c r="M895" s="7" t="b">
        <f t="shared" ca="1" si="44"/>
        <v>0</v>
      </c>
      <c r="N895" s="16" t="b">
        <f t="shared" ca="1" si="45"/>
        <v>0</v>
      </c>
    </row>
    <row r="896" spans="2:14" x14ac:dyDescent="0.35">
      <c r="B896" s="12" t="s">
        <v>922</v>
      </c>
      <c r="L896" s="5" t="s">
        <v>25</v>
      </c>
      <c r="M896" s="7" t="b">
        <f t="shared" ca="1" si="44"/>
        <v>0</v>
      </c>
      <c r="N896" s="16" t="b">
        <f t="shared" ca="1" si="45"/>
        <v>0</v>
      </c>
    </row>
    <row r="897" spans="2:14" x14ac:dyDescent="0.35">
      <c r="B897" s="12" t="s">
        <v>923</v>
      </c>
      <c r="L897" s="5" t="s">
        <v>26</v>
      </c>
      <c r="M897" s="7" t="b">
        <f t="shared" ca="1" si="44"/>
        <v>0</v>
      </c>
      <c r="N897" s="16" t="b">
        <f t="shared" ca="1" si="45"/>
        <v>0</v>
      </c>
    </row>
    <row r="898" spans="2:14" x14ac:dyDescent="0.35">
      <c r="B898" s="12" t="s">
        <v>924</v>
      </c>
      <c r="L898" s="5" t="s">
        <v>25</v>
      </c>
      <c r="M898" s="7" t="b">
        <f t="shared" ca="1" si="44"/>
        <v>0</v>
      </c>
      <c r="N898" s="16" t="b">
        <f t="shared" ca="1" si="45"/>
        <v>0</v>
      </c>
    </row>
    <row r="899" spans="2:14" x14ac:dyDescent="0.35">
      <c r="B899" s="12" t="s">
        <v>925</v>
      </c>
      <c r="L899" s="5" t="s">
        <v>26</v>
      </c>
      <c r="M899" s="7" t="b">
        <f t="shared" ref="M899:M962" ca="1" si="46">AND(A899&gt;=(TODAY()-28),A899&lt;TODAY())</f>
        <v>0</v>
      </c>
      <c r="N899" s="16" t="b">
        <f t="shared" ref="N899:N962" ca="1" si="47">AND(A899&gt;=(TODAY()-56),A899&lt;(TODAY()-28))</f>
        <v>0</v>
      </c>
    </row>
    <row r="900" spans="2:14" x14ac:dyDescent="0.35">
      <c r="B900" s="12" t="s">
        <v>926</v>
      </c>
      <c r="L900" s="5" t="s">
        <v>25</v>
      </c>
      <c r="M900" s="7" t="b">
        <f t="shared" ca="1" si="46"/>
        <v>0</v>
      </c>
      <c r="N900" s="16" t="b">
        <f t="shared" ca="1" si="47"/>
        <v>0</v>
      </c>
    </row>
    <row r="901" spans="2:14" x14ac:dyDescent="0.35">
      <c r="B901" s="12" t="s">
        <v>927</v>
      </c>
      <c r="L901" s="5" t="s">
        <v>26</v>
      </c>
      <c r="M901" s="7" t="b">
        <f t="shared" ca="1" si="46"/>
        <v>0</v>
      </c>
      <c r="N901" s="16" t="b">
        <f t="shared" ca="1" si="47"/>
        <v>0</v>
      </c>
    </row>
    <row r="902" spans="2:14" x14ac:dyDescent="0.35">
      <c r="B902" s="12" t="s">
        <v>928</v>
      </c>
      <c r="L902" s="5" t="s">
        <v>25</v>
      </c>
      <c r="M902" s="7" t="b">
        <f t="shared" ca="1" si="46"/>
        <v>0</v>
      </c>
      <c r="N902" s="16" t="b">
        <f t="shared" ca="1" si="47"/>
        <v>0</v>
      </c>
    </row>
    <row r="903" spans="2:14" x14ac:dyDescent="0.35">
      <c r="B903" s="12" t="s">
        <v>929</v>
      </c>
      <c r="L903" s="5" t="s">
        <v>26</v>
      </c>
      <c r="M903" s="7" t="b">
        <f t="shared" ca="1" si="46"/>
        <v>0</v>
      </c>
      <c r="N903" s="16" t="b">
        <f t="shared" ca="1" si="47"/>
        <v>0</v>
      </c>
    </row>
    <row r="904" spans="2:14" x14ac:dyDescent="0.35">
      <c r="B904" s="12" t="s">
        <v>930</v>
      </c>
      <c r="L904" s="5" t="s">
        <v>25</v>
      </c>
      <c r="M904" s="7" t="b">
        <f t="shared" ca="1" si="46"/>
        <v>0</v>
      </c>
      <c r="N904" s="16" t="b">
        <f t="shared" ca="1" si="47"/>
        <v>0</v>
      </c>
    </row>
    <row r="905" spans="2:14" x14ac:dyDescent="0.35">
      <c r="B905" s="12" t="s">
        <v>931</v>
      </c>
      <c r="L905" s="5" t="s">
        <v>26</v>
      </c>
      <c r="M905" s="7" t="b">
        <f t="shared" ca="1" si="46"/>
        <v>0</v>
      </c>
      <c r="N905" s="16" t="b">
        <f t="shared" ca="1" si="47"/>
        <v>0</v>
      </c>
    </row>
    <row r="906" spans="2:14" x14ac:dyDescent="0.35">
      <c r="B906" s="12" t="s">
        <v>932</v>
      </c>
      <c r="L906" s="5" t="s">
        <v>25</v>
      </c>
      <c r="M906" s="7" t="b">
        <f t="shared" ca="1" si="46"/>
        <v>0</v>
      </c>
      <c r="N906" s="16" t="b">
        <f t="shared" ca="1" si="47"/>
        <v>0</v>
      </c>
    </row>
    <row r="907" spans="2:14" x14ac:dyDescent="0.35">
      <c r="B907" s="12" t="s">
        <v>933</v>
      </c>
      <c r="L907" s="5" t="s">
        <v>26</v>
      </c>
      <c r="M907" s="7" t="b">
        <f t="shared" ca="1" si="46"/>
        <v>0</v>
      </c>
      <c r="N907" s="16" t="b">
        <f t="shared" ca="1" si="47"/>
        <v>0</v>
      </c>
    </row>
    <row r="908" spans="2:14" x14ac:dyDescent="0.35">
      <c r="B908" s="12" t="s">
        <v>934</v>
      </c>
      <c r="L908" s="5" t="s">
        <v>25</v>
      </c>
      <c r="M908" s="7" t="b">
        <f t="shared" ca="1" si="46"/>
        <v>0</v>
      </c>
      <c r="N908" s="16" t="b">
        <f t="shared" ca="1" si="47"/>
        <v>0</v>
      </c>
    </row>
    <row r="909" spans="2:14" x14ac:dyDescent="0.35">
      <c r="B909" s="12" t="s">
        <v>935</v>
      </c>
      <c r="L909" s="5" t="s">
        <v>26</v>
      </c>
      <c r="M909" s="7" t="b">
        <f t="shared" ca="1" si="46"/>
        <v>0</v>
      </c>
      <c r="N909" s="16" t="b">
        <f t="shared" ca="1" si="47"/>
        <v>0</v>
      </c>
    </row>
    <row r="910" spans="2:14" x14ac:dyDescent="0.35">
      <c r="B910" s="12" t="s">
        <v>936</v>
      </c>
      <c r="L910" s="5" t="s">
        <v>25</v>
      </c>
      <c r="M910" s="7" t="b">
        <f t="shared" ca="1" si="46"/>
        <v>0</v>
      </c>
      <c r="N910" s="16" t="b">
        <f t="shared" ca="1" si="47"/>
        <v>0</v>
      </c>
    </row>
    <row r="911" spans="2:14" x14ac:dyDescent="0.35">
      <c r="B911" s="12" t="s">
        <v>937</v>
      </c>
      <c r="L911" s="5" t="s">
        <v>26</v>
      </c>
      <c r="M911" s="7" t="b">
        <f t="shared" ca="1" si="46"/>
        <v>0</v>
      </c>
      <c r="N911" s="16" t="b">
        <f t="shared" ca="1" si="47"/>
        <v>0</v>
      </c>
    </row>
    <row r="912" spans="2:14" x14ac:dyDescent="0.35">
      <c r="B912" s="12" t="s">
        <v>938</v>
      </c>
      <c r="L912" s="5" t="s">
        <v>25</v>
      </c>
      <c r="M912" s="7" t="b">
        <f t="shared" ca="1" si="46"/>
        <v>0</v>
      </c>
      <c r="N912" s="16" t="b">
        <f t="shared" ca="1" si="47"/>
        <v>0</v>
      </c>
    </row>
    <row r="913" spans="2:14" x14ac:dyDescent="0.35">
      <c r="B913" s="12" t="s">
        <v>939</v>
      </c>
      <c r="L913" s="5" t="s">
        <v>26</v>
      </c>
      <c r="M913" s="7" t="b">
        <f t="shared" ca="1" si="46"/>
        <v>0</v>
      </c>
      <c r="N913" s="16" t="b">
        <f t="shared" ca="1" si="47"/>
        <v>0</v>
      </c>
    </row>
    <row r="914" spans="2:14" x14ac:dyDescent="0.35">
      <c r="B914" s="12" t="s">
        <v>940</v>
      </c>
      <c r="L914" s="5" t="s">
        <v>25</v>
      </c>
      <c r="M914" s="7" t="b">
        <f t="shared" ca="1" si="46"/>
        <v>0</v>
      </c>
      <c r="N914" s="16" t="b">
        <f t="shared" ca="1" si="47"/>
        <v>0</v>
      </c>
    </row>
    <row r="915" spans="2:14" x14ac:dyDescent="0.35">
      <c r="B915" s="12" t="s">
        <v>941</v>
      </c>
      <c r="L915" s="5" t="s">
        <v>26</v>
      </c>
      <c r="M915" s="7" t="b">
        <f t="shared" ca="1" si="46"/>
        <v>0</v>
      </c>
      <c r="N915" s="16" t="b">
        <f t="shared" ca="1" si="47"/>
        <v>0</v>
      </c>
    </row>
    <row r="916" spans="2:14" x14ac:dyDescent="0.35">
      <c r="B916" s="12" t="s">
        <v>942</v>
      </c>
      <c r="L916" s="5" t="s">
        <v>25</v>
      </c>
      <c r="M916" s="7" t="b">
        <f t="shared" ca="1" si="46"/>
        <v>0</v>
      </c>
      <c r="N916" s="16" t="b">
        <f t="shared" ca="1" si="47"/>
        <v>0</v>
      </c>
    </row>
    <row r="917" spans="2:14" x14ac:dyDescent="0.35">
      <c r="B917" s="12" t="s">
        <v>943</v>
      </c>
      <c r="L917" s="5" t="s">
        <v>26</v>
      </c>
      <c r="M917" s="7" t="b">
        <f t="shared" ca="1" si="46"/>
        <v>0</v>
      </c>
      <c r="N917" s="16" t="b">
        <f t="shared" ca="1" si="47"/>
        <v>0</v>
      </c>
    </row>
    <row r="918" spans="2:14" x14ac:dyDescent="0.35">
      <c r="B918" s="12" t="s">
        <v>944</v>
      </c>
      <c r="L918" s="5" t="s">
        <v>25</v>
      </c>
      <c r="M918" s="7" t="b">
        <f t="shared" ca="1" si="46"/>
        <v>0</v>
      </c>
      <c r="N918" s="16" t="b">
        <f t="shared" ca="1" si="47"/>
        <v>0</v>
      </c>
    </row>
    <row r="919" spans="2:14" x14ac:dyDescent="0.35">
      <c r="B919" s="12" t="s">
        <v>945</v>
      </c>
      <c r="L919" s="5" t="s">
        <v>26</v>
      </c>
      <c r="M919" s="7" t="b">
        <f t="shared" ca="1" si="46"/>
        <v>0</v>
      </c>
      <c r="N919" s="16" t="b">
        <f t="shared" ca="1" si="47"/>
        <v>0</v>
      </c>
    </row>
    <row r="920" spans="2:14" x14ac:dyDescent="0.35">
      <c r="B920" s="12" t="s">
        <v>946</v>
      </c>
      <c r="L920" s="5" t="s">
        <v>25</v>
      </c>
      <c r="M920" s="7" t="b">
        <f t="shared" ca="1" si="46"/>
        <v>0</v>
      </c>
      <c r="N920" s="16" t="b">
        <f t="shared" ca="1" si="47"/>
        <v>0</v>
      </c>
    </row>
    <row r="921" spans="2:14" x14ac:dyDescent="0.35">
      <c r="B921" s="12" t="s">
        <v>947</v>
      </c>
      <c r="L921" s="5" t="s">
        <v>26</v>
      </c>
      <c r="M921" s="7" t="b">
        <f t="shared" ca="1" si="46"/>
        <v>0</v>
      </c>
      <c r="N921" s="16" t="b">
        <f t="shared" ca="1" si="47"/>
        <v>0</v>
      </c>
    </row>
    <row r="922" spans="2:14" x14ac:dyDescent="0.35">
      <c r="B922" s="12" t="s">
        <v>948</v>
      </c>
      <c r="L922" s="5" t="s">
        <v>25</v>
      </c>
      <c r="M922" s="7" t="b">
        <f t="shared" ca="1" si="46"/>
        <v>0</v>
      </c>
      <c r="N922" s="16" t="b">
        <f t="shared" ca="1" si="47"/>
        <v>0</v>
      </c>
    </row>
    <row r="923" spans="2:14" x14ac:dyDescent="0.35">
      <c r="B923" s="12" t="s">
        <v>949</v>
      </c>
      <c r="L923" s="5" t="s">
        <v>26</v>
      </c>
      <c r="M923" s="7" t="b">
        <f t="shared" ca="1" si="46"/>
        <v>0</v>
      </c>
      <c r="N923" s="16" t="b">
        <f t="shared" ca="1" si="47"/>
        <v>0</v>
      </c>
    </row>
    <row r="924" spans="2:14" x14ac:dyDescent="0.35">
      <c r="B924" s="12" t="s">
        <v>950</v>
      </c>
      <c r="L924" s="5" t="s">
        <v>25</v>
      </c>
      <c r="M924" s="7" t="b">
        <f t="shared" ca="1" si="46"/>
        <v>0</v>
      </c>
      <c r="N924" s="16" t="b">
        <f t="shared" ca="1" si="47"/>
        <v>0</v>
      </c>
    </row>
    <row r="925" spans="2:14" x14ac:dyDescent="0.35">
      <c r="B925" s="12" t="s">
        <v>951</v>
      </c>
      <c r="L925" s="5" t="s">
        <v>26</v>
      </c>
      <c r="M925" s="7" t="b">
        <f t="shared" ca="1" si="46"/>
        <v>0</v>
      </c>
      <c r="N925" s="16" t="b">
        <f t="shared" ca="1" si="47"/>
        <v>0</v>
      </c>
    </row>
    <row r="926" spans="2:14" x14ac:dyDescent="0.35">
      <c r="B926" s="12" t="s">
        <v>952</v>
      </c>
      <c r="L926" s="5" t="s">
        <v>25</v>
      </c>
      <c r="M926" s="7" t="b">
        <f t="shared" ca="1" si="46"/>
        <v>0</v>
      </c>
      <c r="N926" s="16" t="b">
        <f t="shared" ca="1" si="47"/>
        <v>0</v>
      </c>
    </row>
    <row r="927" spans="2:14" x14ac:dyDescent="0.35">
      <c r="B927" s="12" t="s">
        <v>953</v>
      </c>
      <c r="L927" s="5" t="s">
        <v>26</v>
      </c>
      <c r="M927" s="7" t="b">
        <f t="shared" ca="1" si="46"/>
        <v>0</v>
      </c>
      <c r="N927" s="16" t="b">
        <f t="shared" ca="1" si="47"/>
        <v>0</v>
      </c>
    </row>
    <row r="928" spans="2:14" x14ac:dyDescent="0.35">
      <c r="B928" s="12" t="s">
        <v>954</v>
      </c>
      <c r="L928" s="5" t="s">
        <v>25</v>
      </c>
      <c r="M928" s="7" t="b">
        <f t="shared" ca="1" si="46"/>
        <v>0</v>
      </c>
      <c r="N928" s="16" t="b">
        <f t="shared" ca="1" si="47"/>
        <v>0</v>
      </c>
    </row>
    <row r="929" spans="2:14" x14ac:dyDescent="0.35">
      <c r="B929" s="12" t="s">
        <v>955</v>
      </c>
      <c r="L929" s="5" t="s">
        <v>26</v>
      </c>
      <c r="M929" s="7" t="b">
        <f t="shared" ca="1" si="46"/>
        <v>0</v>
      </c>
      <c r="N929" s="16" t="b">
        <f t="shared" ca="1" si="47"/>
        <v>0</v>
      </c>
    </row>
    <row r="930" spans="2:14" x14ac:dyDescent="0.35">
      <c r="B930" s="12" t="s">
        <v>956</v>
      </c>
      <c r="L930" s="5" t="s">
        <v>25</v>
      </c>
      <c r="M930" s="7" t="b">
        <f t="shared" ca="1" si="46"/>
        <v>0</v>
      </c>
      <c r="N930" s="16" t="b">
        <f t="shared" ca="1" si="47"/>
        <v>0</v>
      </c>
    </row>
    <row r="931" spans="2:14" x14ac:dyDescent="0.35">
      <c r="B931" s="12" t="s">
        <v>957</v>
      </c>
      <c r="L931" s="5" t="s">
        <v>26</v>
      </c>
      <c r="M931" s="7" t="b">
        <f t="shared" ca="1" si="46"/>
        <v>0</v>
      </c>
      <c r="N931" s="16" t="b">
        <f t="shared" ca="1" si="47"/>
        <v>0</v>
      </c>
    </row>
    <row r="932" spans="2:14" x14ac:dyDescent="0.35">
      <c r="B932" s="12" t="s">
        <v>958</v>
      </c>
      <c r="L932" s="5" t="s">
        <v>25</v>
      </c>
      <c r="M932" s="7" t="b">
        <f t="shared" ca="1" si="46"/>
        <v>0</v>
      </c>
      <c r="N932" s="16" t="b">
        <f t="shared" ca="1" si="47"/>
        <v>0</v>
      </c>
    </row>
    <row r="933" spans="2:14" x14ac:dyDescent="0.35">
      <c r="B933" s="12" t="s">
        <v>959</v>
      </c>
      <c r="L933" s="5" t="s">
        <v>26</v>
      </c>
      <c r="M933" s="7" t="b">
        <f t="shared" ca="1" si="46"/>
        <v>0</v>
      </c>
      <c r="N933" s="16" t="b">
        <f t="shared" ca="1" si="47"/>
        <v>0</v>
      </c>
    </row>
    <row r="934" spans="2:14" x14ac:dyDescent="0.35">
      <c r="B934" s="12" t="s">
        <v>960</v>
      </c>
      <c r="L934" s="5" t="s">
        <v>25</v>
      </c>
      <c r="M934" s="7" t="b">
        <f t="shared" ca="1" si="46"/>
        <v>0</v>
      </c>
      <c r="N934" s="16" t="b">
        <f t="shared" ca="1" si="47"/>
        <v>0</v>
      </c>
    </row>
    <row r="935" spans="2:14" x14ac:dyDescent="0.35">
      <c r="B935" s="12" t="s">
        <v>961</v>
      </c>
      <c r="L935" s="5" t="s">
        <v>26</v>
      </c>
      <c r="M935" s="7" t="b">
        <f t="shared" ca="1" si="46"/>
        <v>0</v>
      </c>
      <c r="N935" s="16" t="b">
        <f t="shared" ca="1" si="47"/>
        <v>0</v>
      </c>
    </row>
    <row r="936" spans="2:14" x14ac:dyDescent="0.35">
      <c r="B936" s="12" t="s">
        <v>962</v>
      </c>
      <c r="L936" s="5" t="s">
        <v>25</v>
      </c>
      <c r="M936" s="7" t="b">
        <f t="shared" ca="1" si="46"/>
        <v>0</v>
      </c>
      <c r="N936" s="16" t="b">
        <f t="shared" ca="1" si="47"/>
        <v>0</v>
      </c>
    </row>
    <row r="937" spans="2:14" x14ac:dyDescent="0.35">
      <c r="B937" s="12" t="s">
        <v>963</v>
      </c>
      <c r="L937" s="5" t="s">
        <v>26</v>
      </c>
      <c r="M937" s="7" t="b">
        <f t="shared" ca="1" si="46"/>
        <v>0</v>
      </c>
      <c r="N937" s="16" t="b">
        <f t="shared" ca="1" si="47"/>
        <v>0</v>
      </c>
    </row>
    <row r="938" spans="2:14" x14ac:dyDescent="0.35">
      <c r="B938" s="12" t="s">
        <v>964</v>
      </c>
      <c r="L938" s="5" t="s">
        <v>25</v>
      </c>
      <c r="M938" s="7" t="b">
        <f t="shared" ca="1" si="46"/>
        <v>0</v>
      </c>
      <c r="N938" s="16" t="b">
        <f t="shared" ca="1" si="47"/>
        <v>0</v>
      </c>
    </row>
    <row r="939" spans="2:14" x14ac:dyDescent="0.35">
      <c r="B939" s="12" t="s">
        <v>965</v>
      </c>
      <c r="L939" s="5" t="s">
        <v>26</v>
      </c>
      <c r="M939" s="7" t="b">
        <f t="shared" ca="1" si="46"/>
        <v>0</v>
      </c>
      <c r="N939" s="16" t="b">
        <f t="shared" ca="1" si="47"/>
        <v>0</v>
      </c>
    </row>
    <row r="940" spans="2:14" x14ac:dyDescent="0.35">
      <c r="B940" s="12" t="s">
        <v>966</v>
      </c>
      <c r="L940" s="5" t="s">
        <v>25</v>
      </c>
      <c r="M940" s="7" t="b">
        <f t="shared" ca="1" si="46"/>
        <v>0</v>
      </c>
      <c r="N940" s="16" t="b">
        <f t="shared" ca="1" si="47"/>
        <v>0</v>
      </c>
    </row>
    <row r="941" spans="2:14" x14ac:dyDescent="0.35">
      <c r="B941" s="12" t="s">
        <v>967</v>
      </c>
      <c r="L941" s="5" t="s">
        <v>26</v>
      </c>
      <c r="M941" s="7" t="b">
        <f t="shared" ca="1" si="46"/>
        <v>0</v>
      </c>
      <c r="N941" s="16" t="b">
        <f t="shared" ca="1" si="47"/>
        <v>0</v>
      </c>
    </row>
    <row r="942" spans="2:14" x14ac:dyDescent="0.35">
      <c r="B942" s="12" t="s">
        <v>968</v>
      </c>
      <c r="L942" s="5" t="s">
        <v>25</v>
      </c>
      <c r="M942" s="7" t="b">
        <f t="shared" ca="1" si="46"/>
        <v>0</v>
      </c>
      <c r="N942" s="16" t="b">
        <f t="shared" ca="1" si="47"/>
        <v>0</v>
      </c>
    </row>
    <row r="943" spans="2:14" x14ac:dyDescent="0.35">
      <c r="B943" s="12" t="s">
        <v>969</v>
      </c>
      <c r="L943" s="5" t="s">
        <v>26</v>
      </c>
      <c r="M943" s="7" t="b">
        <f t="shared" ca="1" si="46"/>
        <v>0</v>
      </c>
      <c r="N943" s="16" t="b">
        <f t="shared" ca="1" si="47"/>
        <v>0</v>
      </c>
    </row>
    <row r="944" spans="2:14" x14ac:dyDescent="0.35">
      <c r="B944" s="12" t="s">
        <v>970</v>
      </c>
      <c r="L944" s="5" t="s">
        <v>25</v>
      </c>
      <c r="M944" s="7" t="b">
        <f t="shared" ca="1" si="46"/>
        <v>0</v>
      </c>
      <c r="N944" s="16" t="b">
        <f t="shared" ca="1" si="47"/>
        <v>0</v>
      </c>
    </row>
    <row r="945" spans="2:14" x14ac:dyDescent="0.35">
      <c r="B945" s="12" t="s">
        <v>971</v>
      </c>
      <c r="L945" s="5" t="s">
        <v>26</v>
      </c>
      <c r="M945" s="7" t="b">
        <f t="shared" ca="1" si="46"/>
        <v>0</v>
      </c>
      <c r="N945" s="16" t="b">
        <f t="shared" ca="1" si="47"/>
        <v>0</v>
      </c>
    </row>
    <row r="946" spans="2:14" x14ac:dyDescent="0.35">
      <c r="B946" s="12" t="s">
        <v>972</v>
      </c>
      <c r="L946" s="5" t="s">
        <v>25</v>
      </c>
      <c r="M946" s="7" t="b">
        <f t="shared" ca="1" si="46"/>
        <v>0</v>
      </c>
      <c r="N946" s="16" t="b">
        <f t="shared" ca="1" si="47"/>
        <v>0</v>
      </c>
    </row>
    <row r="947" spans="2:14" x14ac:dyDescent="0.35">
      <c r="B947" s="12" t="s">
        <v>973</v>
      </c>
      <c r="L947" s="5" t="s">
        <v>26</v>
      </c>
      <c r="M947" s="7" t="b">
        <f t="shared" ca="1" si="46"/>
        <v>0</v>
      </c>
      <c r="N947" s="16" t="b">
        <f t="shared" ca="1" si="47"/>
        <v>0</v>
      </c>
    </row>
    <row r="948" spans="2:14" x14ac:dyDescent="0.35">
      <c r="B948" s="12" t="s">
        <v>974</v>
      </c>
      <c r="L948" s="5" t="s">
        <v>25</v>
      </c>
      <c r="M948" s="7" t="b">
        <f t="shared" ca="1" si="46"/>
        <v>0</v>
      </c>
      <c r="N948" s="16" t="b">
        <f t="shared" ca="1" si="47"/>
        <v>0</v>
      </c>
    </row>
    <row r="949" spans="2:14" x14ac:dyDescent="0.35">
      <c r="B949" s="12" t="s">
        <v>975</v>
      </c>
      <c r="L949" s="5" t="s">
        <v>26</v>
      </c>
      <c r="M949" s="7" t="b">
        <f t="shared" ca="1" si="46"/>
        <v>0</v>
      </c>
      <c r="N949" s="16" t="b">
        <f t="shared" ca="1" si="47"/>
        <v>0</v>
      </c>
    </row>
    <row r="950" spans="2:14" x14ac:dyDescent="0.35">
      <c r="B950" s="12" t="s">
        <v>976</v>
      </c>
      <c r="L950" s="5" t="s">
        <v>25</v>
      </c>
      <c r="M950" s="7" t="b">
        <f t="shared" ca="1" si="46"/>
        <v>0</v>
      </c>
      <c r="N950" s="16" t="b">
        <f t="shared" ca="1" si="47"/>
        <v>0</v>
      </c>
    </row>
    <row r="951" spans="2:14" x14ac:dyDescent="0.35">
      <c r="B951" s="12" t="s">
        <v>977</v>
      </c>
      <c r="L951" s="5" t="s">
        <v>26</v>
      </c>
      <c r="M951" s="7" t="b">
        <f t="shared" ca="1" si="46"/>
        <v>0</v>
      </c>
      <c r="N951" s="16" t="b">
        <f t="shared" ca="1" si="47"/>
        <v>0</v>
      </c>
    </row>
    <row r="952" spans="2:14" x14ac:dyDescent="0.35">
      <c r="B952" s="12" t="s">
        <v>978</v>
      </c>
      <c r="L952" s="5" t="s">
        <v>25</v>
      </c>
      <c r="M952" s="7" t="b">
        <f t="shared" ca="1" si="46"/>
        <v>0</v>
      </c>
      <c r="N952" s="16" t="b">
        <f t="shared" ca="1" si="47"/>
        <v>0</v>
      </c>
    </row>
    <row r="953" spans="2:14" x14ac:dyDescent="0.35">
      <c r="B953" s="12" t="s">
        <v>979</v>
      </c>
      <c r="L953" s="5" t="s">
        <v>26</v>
      </c>
      <c r="M953" s="7" t="b">
        <f t="shared" ca="1" si="46"/>
        <v>0</v>
      </c>
      <c r="N953" s="16" t="b">
        <f t="shared" ca="1" si="47"/>
        <v>0</v>
      </c>
    </row>
    <row r="954" spans="2:14" x14ac:dyDescent="0.35">
      <c r="B954" s="12" t="s">
        <v>980</v>
      </c>
      <c r="L954" s="5" t="s">
        <v>25</v>
      </c>
      <c r="M954" s="7" t="b">
        <f t="shared" ca="1" si="46"/>
        <v>0</v>
      </c>
      <c r="N954" s="16" t="b">
        <f t="shared" ca="1" si="47"/>
        <v>0</v>
      </c>
    </row>
    <row r="955" spans="2:14" x14ac:dyDescent="0.35">
      <c r="B955" s="12" t="s">
        <v>981</v>
      </c>
      <c r="L955" s="5" t="s">
        <v>26</v>
      </c>
      <c r="M955" s="7" t="b">
        <f t="shared" ca="1" si="46"/>
        <v>0</v>
      </c>
      <c r="N955" s="16" t="b">
        <f t="shared" ca="1" si="47"/>
        <v>0</v>
      </c>
    </row>
    <row r="956" spans="2:14" x14ac:dyDescent="0.35">
      <c r="B956" s="12" t="s">
        <v>982</v>
      </c>
      <c r="L956" s="5" t="s">
        <v>25</v>
      </c>
      <c r="M956" s="7" t="b">
        <f t="shared" ca="1" si="46"/>
        <v>0</v>
      </c>
      <c r="N956" s="16" t="b">
        <f t="shared" ca="1" si="47"/>
        <v>0</v>
      </c>
    </row>
    <row r="957" spans="2:14" x14ac:dyDescent="0.35">
      <c r="B957" s="12" t="s">
        <v>983</v>
      </c>
      <c r="L957" s="5" t="s">
        <v>26</v>
      </c>
      <c r="M957" s="7" t="b">
        <f t="shared" ca="1" si="46"/>
        <v>0</v>
      </c>
      <c r="N957" s="16" t="b">
        <f t="shared" ca="1" si="47"/>
        <v>0</v>
      </c>
    </row>
    <row r="958" spans="2:14" x14ac:dyDescent="0.35">
      <c r="B958" s="12" t="s">
        <v>984</v>
      </c>
      <c r="L958" s="5" t="s">
        <v>25</v>
      </c>
      <c r="M958" s="7" t="b">
        <f t="shared" ca="1" si="46"/>
        <v>0</v>
      </c>
      <c r="N958" s="16" t="b">
        <f t="shared" ca="1" si="47"/>
        <v>0</v>
      </c>
    </row>
    <row r="959" spans="2:14" x14ac:dyDescent="0.35">
      <c r="B959" s="12" t="s">
        <v>985</v>
      </c>
      <c r="L959" s="5" t="s">
        <v>26</v>
      </c>
      <c r="M959" s="7" t="b">
        <f t="shared" ca="1" si="46"/>
        <v>0</v>
      </c>
      <c r="N959" s="16" t="b">
        <f t="shared" ca="1" si="47"/>
        <v>0</v>
      </c>
    </row>
    <row r="960" spans="2:14" x14ac:dyDescent="0.35">
      <c r="B960" s="12" t="s">
        <v>986</v>
      </c>
      <c r="L960" s="5" t="s">
        <v>25</v>
      </c>
      <c r="M960" s="7" t="b">
        <f t="shared" ca="1" si="46"/>
        <v>0</v>
      </c>
      <c r="N960" s="16" t="b">
        <f t="shared" ca="1" si="47"/>
        <v>0</v>
      </c>
    </row>
    <row r="961" spans="2:14" x14ac:dyDescent="0.35">
      <c r="B961" s="12" t="s">
        <v>987</v>
      </c>
      <c r="L961" s="5" t="s">
        <v>26</v>
      </c>
      <c r="M961" s="7" t="b">
        <f t="shared" ca="1" si="46"/>
        <v>0</v>
      </c>
      <c r="N961" s="16" t="b">
        <f t="shared" ca="1" si="47"/>
        <v>0</v>
      </c>
    </row>
    <row r="962" spans="2:14" x14ac:dyDescent="0.35">
      <c r="B962" s="12" t="s">
        <v>988</v>
      </c>
      <c r="L962" s="5" t="s">
        <v>25</v>
      </c>
      <c r="M962" s="7" t="b">
        <f t="shared" ca="1" si="46"/>
        <v>0</v>
      </c>
      <c r="N962" s="16" t="b">
        <f t="shared" ca="1" si="47"/>
        <v>0</v>
      </c>
    </row>
    <row r="963" spans="2:14" x14ac:dyDescent="0.35">
      <c r="B963" s="12" t="s">
        <v>989</v>
      </c>
      <c r="L963" s="5" t="s">
        <v>26</v>
      </c>
      <c r="M963" s="7" t="b">
        <f t="shared" ref="M963:M1026" ca="1" si="48">AND(A963&gt;=(TODAY()-28),A963&lt;TODAY())</f>
        <v>0</v>
      </c>
      <c r="N963" s="16" t="b">
        <f t="shared" ref="N963:N1026" ca="1" si="49">AND(A963&gt;=(TODAY()-56),A963&lt;(TODAY()-28))</f>
        <v>0</v>
      </c>
    </row>
    <row r="964" spans="2:14" x14ac:dyDescent="0.35">
      <c r="B964" s="12" t="s">
        <v>990</v>
      </c>
      <c r="L964" s="5" t="s">
        <v>25</v>
      </c>
      <c r="M964" s="7" t="b">
        <f t="shared" ca="1" si="48"/>
        <v>0</v>
      </c>
      <c r="N964" s="16" t="b">
        <f t="shared" ca="1" si="49"/>
        <v>0</v>
      </c>
    </row>
    <row r="965" spans="2:14" x14ac:dyDescent="0.35">
      <c r="B965" s="12" t="s">
        <v>991</v>
      </c>
      <c r="L965" s="5" t="s">
        <v>26</v>
      </c>
      <c r="M965" s="7" t="b">
        <f t="shared" ca="1" si="48"/>
        <v>0</v>
      </c>
      <c r="N965" s="16" t="b">
        <f t="shared" ca="1" si="49"/>
        <v>0</v>
      </c>
    </row>
    <row r="966" spans="2:14" x14ac:dyDescent="0.35">
      <c r="B966" s="12" t="s">
        <v>992</v>
      </c>
      <c r="L966" s="5" t="s">
        <v>25</v>
      </c>
      <c r="M966" s="7" t="b">
        <f t="shared" ca="1" si="48"/>
        <v>0</v>
      </c>
      <c r="N966" s="16" t="b">
        <f t="shared" ca="1" si="49"/>
        <v>0</v>
      </c>
    </row>
    <row r="967" spans="2:14" x14ac:dyDescent="0.35">
      <c r="B967" s="12" t="s">
        <v>993</v>
      </c>
      <c r="L967" s="5" t="s">
        <v>26</v>
      </c>
      <c r="M967" s="7" t="b">
        <f t="shared" ca="1" si="48"/>
        <v>0</v>
      </c>
      <c r="N967" s="16" t="b">
        <f t="shared" ca="1" si="49"/>
        <v>0</v>
      </c>
    </row>
    <row r="968" spans="2:14" x14ac:dyDescent="0.35">
      <c r="B968" s="12" t="s">
        <v>994</v>
      </c>
      <c r="L968" s="5" t="s">
        <v>25</v>
      </c>
      <c r="M968" s="7" t="b">
        <f t="shared" ca="1" si="48"/>
        <v>0</v>
      </c>
      <c r="N968" s="16" t="b">
        <f t="shared" ca="1" si="49"/>
        <v>0</v>
      </c>
    </row>
    <row r="969" spans="2:14" x14ac:dyDescent="0.35">
      <c r="B969" s="12" t="s">
        <v>995</v>
      </c>
      <c r="L969" s="5" t="s">
        <v>26</v>
      </c>
      <c r="M969" s="7" t="b">
        <f t="shared" ca="1" si="48"/>
        <v>0</v>
      </c>
      <c r="N969" s="16" t="b">
        <f t="shared" ca="1" si="49"/>
        <v>0</v>
      </c>
    </row>
    <row r="970" spans="2:14" x14ac:dyDescent="0.35">
      <c r="B970" s="12" t="s">
        <v>996</v>
      </c>
      <c r="L970" s="5" t="s">
        <v>25</v>
      </c>
      <c r="M970" s="7" t="b">
        <f t="shared" ca="1" si="48"/>
        <v>0</v>
      </c>
      <c r="N970" s="16" t="b">
        <f t="shared" ca="1" si="49"/>
        <v>0</v>
      </c>
    </row>
    <row r="971" spans="2:14" x14ac:dyDescent="0.35">
      <c r="B971" s="12" t="s">
        <v>997</v>
      </c>
      <c r="L971" s="5" t="s">
        <v>26</v>
      </c>
      <c r="M971" s="7" t="b">
        <f t="shared" ca="1" si="48"/>
        <v>0</v>
      </c>
      <c r="N971" s="16" t="b">
        <f t="shared" ca="1" si="49"/>
        <v>0</v>
      </c>
    </row>
    <row r="972" spans="2:14" x14ac:dyDescent="0.35">
      <c r="B972" s="12" t="s">
        <v>998</v>
      </c>
      <c r="L972" s="5" t="s">
        <v>25</v>
      </c>
      <c r="M972" s="7" t="b">
        <f t="shared" ca="1" si="48"/>
        <v>0</v>
      </c>
      <c r="N972" s="16" t="b">
        <f t="shared" ca="1" si="49"/>
        <v>0</v>
      </c>
    </row>
    <row r="973" spans="2:14" x14ac:dyDescent="0.35">
      <c r="B973" s="12" t="s">
        <v>999</v>
      </c>
      <c r="L973" s="5" t="s">
        <v>26</v>
      </c>
      <c r="M973" s="7" t="b">
        <f t="shared" ca="1" si="48"/>
        <v>0</v>
      </c>
      <c r="N973" s="16" t="b">
        <f t="shared" ca="1" si="49"/>
        <v>0</v>
      </c>
    </row>
    <row r="974" spans="2:14" x14ac:dyDescent="0.35">
      <c r="B974" s="12" t="s">
        <v>1000</v>
      </c>
      <c r="L974" s="5" t="s">
        <v>25</v>
      </c>
      <c r="M974" s="7" t="b">
        <f t="shared" ca="1" si="48"/>
        <v>0</v>
      </c>
      <c r="N974" s="16" t="b">
        <f t="shared" ca="1" si="49"/>
        <v>0</v>
      </c>
    </row>
    <row r="975" spans="2:14" x14ac:dyDescent="0.35">
      <c r="B975" s="12" t="s">
        <v>1001</v>
      </c>
      <c r="L975" s="5" t="s">
        <v>26</v>
      </c>
      <c r="M975" s="7" t="b">
        <f t="shared" ca="1" si="48"/>
        <v>0</v>
      </c>
      <c r="N975" s="16" t="b">
        <f t="shared" ca="1" si="49"/>
        <v>0</v>
      </c>
    </row>
    <row r="976" spans="2:14" x14ac:dyDescent="0.35">
      <c r="B976" s="12" t="s">
        <v>1002</v>
      </c>
      <c r="L976" s="5" t="s">
        <v>25</v>
      </c>
      <c r="M976" s="7" t="b">
        <f t="shared" ca="1" si="48"/>
        <v>0</v>
      </c>
      <c r="N976" s="16" t="b">
        <f t="shared" ca="1" si="49"/>
        <v>0</v>
      </c>
    </row>
    <row r="977" spans="2:14" x14ac:dyDescent="0.35">
      <c r="B977" s="12" t="s">
        <v>1003</v>
      </c>
      <c r="L977" s="5" t="s">
        <v>26</v>
      </c>
      <c r="M977" s="7" t="b">
        <f t="shared" ca="1" si="48"/>
        <v>0</v>
      </c>
      <c r="N977" s="16" t="b">
        <f t="shared" ca="1" si="49"/>
        <v>0</v>
      </c>
    </row>
    <row r="978" spans="2:14" x14ac:dyDescent="0.35">
      <c r="B978" s="12" t="s">
        <v>1004</v>
      </c>
      <c r="L978" s="5" t="s">
        <v>25</v>
      </c>
      <c r="M978" s="7" t="b">
        <f t="shared" ca="1" si="48"/>
        <v>0</v>
      </c>
      <c r="N978" s="16" t="b">
        <f t="shared" ca="1" si="49"/>
        <v>0</v>
      </c>
    </row>
    <row r="979" spans="2:14" x14ac:dyDescent="0.35">
      <c r="B979" s="12" t="s">
        <v>1005</v>
      </c>
      <c r="L979" s="5" t="s">
        <v>26</v>
      </c>
      <c r="M979" s="7" t="b">
        <f t="shared" ca="1" si="48"/>
        <v>0</v>
      </c>
      <c r="N979" s="16" t="b">
        <f t="shared" ca="1" si="49"/>
        <v>0</v>
      </c>
    </row>
    <row r="980" spans="2:14" x14ac:dyDescent="0.35">
      <c r="B980" s="12" t="s">
        <v>1006</v>
      </c>
      <c r="L980" s="5" t="s">
        <v>25</v>
      </c>
      <c r="M980" s="7" t="b">
        <f t="shared" ca="1" si="48"/>
        <v>0</v>
      </c>
      <c r="N980" s="16" t="b">
        <f t="shared" ca="1" si="49"/>
        <v>0</v>
      </c>
    </row>
    <row r="981" spans="2:14" x14ac:dyDescent="0.35">
      <c r="B981" s="12" t="s">
        <v>1007</v>
      </c>
      <c r="L981" s="5" t="s">
        <v>26</v>
      </c>
      <c r="M981" s="7" t="b">
        <f t="shared" ca="1" si="48"/>
        <v>0</v>
      </c>
      <c r="N981" s="16" t="b">
        <f t="shared" ca="1" si="49"/>
        <v>0</v>
      </c>
    </row>
    <row r="982" spans="2:14" x14ac:dyDescent="0.35">
      <c r="B982" s="12" t="s">
        <v>1008</v>
      </c>
      <c r="L982" s="5" t="s">
        <v>25</v>
      </c>
      <c r="M982" s="7" t="b">
        <f t="shared" ca="1" si="48"/>
        <v>0</v>
      </c>
      <c r="N982" s="16" t="b">
        <f t="shared" ca="1" si="49"/>
        <v>0</v>
      </c>
    </row>
    <row r="983" spans="2:14" x14ac:dyDescent="0.35">
      <c r="B983" s="12" t="s">
        <v>1009</v>
      </c>
      <c r="L983" s="5" t="s">
        <v>26</v>
      </c>
      <c r="M983" s="7" t="b">
        <f t="shared" ca="1" si="48"/>
        <v>0</v>
      </c>
      <c r="N983" s="16" t="b">
        <f t="shared" ca="1" si="49"/>
        <v>0</v>
      </c>
    </row>
    <row r="984" spans="2:14" x14ac:dyDescent="0.35">
      <c r="B984" s="12" t="s">
        <v>1010</v>
      </c>
      <c r="L984" s="5" t="s">
        <v>25</v>
      </c>
      <c r="M984" s="7" t="b">
        <f t="shared" ca="1" si="48"/>
        <v>0</v>
      </c>
      <c r="N984" s="16" t="b">
        <f t="shared" ca="1" si="49"/>
        <v>0</v>
      </c>
    </row>
    <row r="985" spans="2:14" x14ac:dyDescent="0.35">
      <c r="B985" s="12" t="s">
        <v>1011</v>
      </c>
      <c r="L985" s="5" t="s">
        <v>26</v>
      </c>
      <c r="M985" s="7" t="b">
        <f t="shared" ca="1" si="48"/>
        <v>0</v>
      </c>
      <c r="N985" s="16" t="b">
        <f t="shared" ca="1" si="49"/>
        <v>0</v>
      </c>
    </row>
    <row r="986" spans="2:14" x14ac:dyDescent="0.35">
      <c r="B986" s="12" t="s">
        <v>1012</v>
      </c>
      <c r="L986" s="5" t="s">
        <v>25</v>
      </c>
      <c r="M986" s="7" t="b">
        <f t="shared" ca="1" si="48"/>
        <v>0</v>
      </c>
      <c r="N986" s="16" t="b">
        <f t="shared" ca="1" si="49"/>
        <v>0</v>
      </c>
    </row>
    <row r="987" spans="2:14" x14ac:dyDescent="0.35">
      <c r="B987" s="12" t="s">
        <v>1013</v>
      </c>
      <c r="L987" s="5" t="s">
        <v>26</v>
      </c>
      <c r="M987" s="7" t="b">
        <f t="shared" ca="1" si="48"/>
        <v>0</v>
      </c>
      <c r="N987" s="16" t="b">
        <f t="shared" ca="1" si="49"/>
        <v>0</v>
      </c>
    </row>
    <row r="988" spans="2:14" x14ac:dyDescent="0.35">
      <c r="B988" s="12" t="s">
        <v>1014</v>
      </c>
      <c r="L988" s="5" t="s">
        <v>25</v>
      </c>
      <c r="M988" s="7" t="b">
        <f t="shared" ca="1" si="48"/>
        <v>0</v>
      </c>
      <c r="N988" s="16" t="b">
        <f t="shared" ca="1" si="49"/>
        <v>0</v>
      </c>
    </row>
    <row r="989" spans="2:14" x14ac:dyDescent="0.35">
      <c r="B989" s="12" t="s">
        <v>1015</v>
      </c>
      <c r="L989" s="5" t="s">
        <v>26</v>
      </c>
      <c r="M989" s="7" t="b">
        <f t="shared" ca="1" si="48"/>
        <v>0</v>
      </c>
      <c r="N989" s="16" t="b">
        <f t="shared" ca="1" si="49"/>
        <v>0</v>
      </c>
    </row>
    <row r="990" spans="2:14" x14ac:dyDescent="0.35">
      <c r="B990" s="12" t="s">
        <v>1016</v>
      </c>
      <c r="L990" s="5" t="s">
        <v>25</v>
      </c>
      <c r="M990" s="7" t="b">
        <f t="shared" ca="1" si="48"/>
        <v>0</v>
      </c>
      <c r="N990" s="16" t="b">
        <f t="shared" ca="1" si="49"/>
        <v>0</v>
      </c>
    </row>
    <row r="991" spans="2:14" x14ac:dyDescent="0.35">
      <c r="B991" s="12" t="s">
        <v>1017</v>
      </c>
      <c r="L991" s="5" t="s">
        <v>26</v>
      </c>
      <c r="M991" s="7" t="b">
        <f t="shared" ca="1" si="48"/>
        <v>0</v>
      </c>
      <c r="N991" s="16" t="b">
        <f t="shared" ca="1" si="49"/>
        <v>0</v>
      </c>
    </row>
    <row r="992" spans="2:14" x14ac:dyDescent="0.35">
      <c r="B992" s="12" t="s">
        <v>1018</v>
      </c>
      <c r="L992" s="5" t="s">
        <v>25</v>
      </c>
      <c r="M992" s="7" t="b">
        <f t="shared" ca="1" si="48"/>
        <v>0</v>
      </c>
      <c r="N992" s="16" t="b">
        <f t="shared" ca="1" si="49"/>
        <v>0</v>
      </c>
    </row>
    <row r="993" spans="2:14" x14ac:dyDescent="0.35">
      <c r="B993" s="12" t="s">
        <v>1019</v>
      </c>
      <c r="L993" s="5" t="s">
        <v>26</v>
      </c>
      <c r="M993" s="7" t="b">
        <f t="shared" ca="1" si="48"/>
        <v>0</v>
      </c>
      <c r="N993" s="16" t="b">
        <f t="shared" ca="1" si="49"/>
        <v>0</v>
      </c>
    </row>
    <row r="994" spans="2:14" x14ac:dyDescent="0.35">
      <c r="B994" s="12" t="s">
        <v>1020</v>
      </c>
      <c r="L994" s="5" t="s">
        <v>25</v>
      </c>
      <c r="M994" s="7" t="b">
        <f t="shared" ca="1" si="48"/>
        <v>0</v>
      </c>
      <c r="N994" s="16" t="b">
        <f t="shared" ca="1" si="49"/>
        <v>0</v>
      </c>
    </row>
    <row r="995" spans="2:14" x14ac:dyDescent="0.35">
      <c r="B995" s="12" t="s">
        <v>1021</v>
      </c>
      <c r="L995" s="5" t="s">
        <v>26</v>
      </c>
      <c r="M995" s="7" t="b">
        <f t="shared" ca="1" si="48"/>
        <v>0</v>
      </c>
      <c r="N995" s="16" t="b">
        <f t="shared" ca="1" si="49"/>
        <v>0</v>
      </c>
    </row>
    <row r="996" spans="2:14" x14ac:dyDescent="0.35">
      <c r="B996" s="12" t="s">
        <v>1022</v>
      </c>
      <c r="L996" s="5" t="s">
        <v>25</v>
      </c>
      <c r="M996" s="7" t="b">
        <f t="shared" ca="1" si="48"/>
        <v>0</v>
      </c>
      <c r="N996" s="16" t="b">
        <f t="shared" ca="1" si="49"/>
        <v>0</v>
      </c>
    </row>
    <row r="997" spans="2:14" x14ac:dyDescent="0.35">
      <c r="B997" s="12" t="s">
        <v>1023</v>
      </c>
      <c r="L997" s="5" t="s">
        <v>26</v>
      </c>
      <c r="M997" s="7" t="b">
        <f t="shared" ca="1" si="48"/>
        <v>0</v>
      </c>
      <c r="N997" s="16" t="b">
        <f t="shared" ca="1" si="49"/>
        <v>0</v>
      </c>
    </row>
    <row r="998" spans="2:14" x14ac:dyDescent="0.35">
      <c r="B998" s="12" t="s">
        <v>1024</v>
      </c>
      <c r="L998" s="5" t="s">
        <v>25</v>
      </c>
      <c r="M998" s="7" t="b">
        <f t="shared" ca="1" si="48"/>
        <v>0</v>
      </c>
      <c r="N998" s="16" t="b">
        <f t="shared" ca="1" si="49"/>
        <v>0</v>
      </c>
    </row>
    <row r="999" spans="2:14" x14ac:dyDescent="0.35">
      <c r="B999" s="12" t="s">
        <v>1025</v>
      </c>
      <c r="L999" s="5" t="s">
        <v>26</v>
      </c>
      <c r="M999" s="7" t="b">
        <f t="shared" ca="1" si="48"/>
        <v>0</v>
      </c>
      <c r="N999" s="16" t="b">
        <f t="shared" ca="1" si="49"/>
        <v>0</v>
      </c>
    </row>
    <row r="1000" spans="2:14" x14ac:dyDescent="0.35">
      <c r="B1000" s="12" t="s">
        <v>1026</v>
      </c>
      <c r="L1000" s="5" t="s">
        <v>25</v>
      </c>
      <c r="M1000" s="7" t="b">
        <f t="shared" ca="1" si="48"/>
        <v>0</v>
      </c>
      <c r="N1000" s="16" t="b">
        <f t="shared" ca="1" si="49"/>
        <v>0</v>
      </c>
    </row>
    <row r="1001" spans="2:14" x14ac:dyDescent="0.35">
      <c r="B1001" s="12" t="s">
        <v>1027</v>
      </c>
      <c r="L1001" s="5" t="s">
        <v>26</v>
      </c>
      <c r="M1001" s="7" t="b">
        <f t="shared" ca="1" si="48"/>
        <v>0</v>
      </c>
      <c r="N1001" s="16" t="b">
        <f t="shared" ca="1" si="49"/>
        <v>0</v>
      </c>
    </row>
    <row r="1002" spans="2:14" x14ac:dyDescent="0.35">
      <c r="B1002" s="12" t="s">
        <v>1028</v>
      </c>
      <c r="L1002" s="5" t="s">
        <v>25</v>
      </c>
      <c r="M1002" s="7" t="b">
        <f t="shared" ca="1" si="48"/>
        <v>0</v>
      </c>
      <c r="N1002" s="16" t="b">
        <f t="shared" ca="1" si="49"/>
        <v>0</v>
      </c>
    </row>
    <row r="1003" spans="2:14" x14ac:dyDescent="0.35">
      <c r="B1003" s="12" t="s">
        <v>1029</v>
      </c>
      <c r="L1003" s="5" t="s">
        <v>26</v>
      </c>
      <c r="M1003" s="7" t="b">
        <f t="shared" ca="1" si="48"/>
        <v>0</v>
      </c>
      <c r="N1003" s="16" t="b">
        <f t="shared" ca="1" si="49"/>
        <v>0</v>
      </c>
    </row>
    <row r="1004" spans="2:14" x14ac:dyDescent="0.35">
      <c r="B1004" s="12" t="s">
        <v>1030</v>
      </c>
      <c r="L1004" s="5" t="s">
        <v>25</v>
      </c>
      <c r="M1004" s="7" t="b">
        <f t="shared" ca="1" si="48"/>
        <v>0</v>
      </c>
      <c r="N1004" s="16" t="b">
        <f t="shared" ca="1" si="49"/>
        <v>0</v>
      </c>
    </row>
    <row r="1005" spans="2:14" x14ac:dyDescent="0.35">
      <c r="B1005" s="12" t="s">
        <v>1031</v>
      </c>
      <c r="L1005" s="5" t="s">
        <v>26</v>
      </c>
      <c r="M1005" s="7" t="b">
        <f t="shared" ca="1" si="48"/>
        <v>0</v>
      </c>
      <c r="N1005" s="16" t="b">
        <f t="shared" ca="1" si="49"/>
        <v>0</v>
      </c>
    </row>
    <row r="1006" spans="2:14" x14ac:dyDescent="0.35">
      <c r="B1006" s="12" t="s">
        <v>1032</v>
      </c>
      <c r="L1006" s="5" t="s">
        <v>25</v>
      </c>
      <c r="M1006" s="7" t="b">
        <f t="shared" ca="1" si="48"/>
        <v>0</v>
      </c>
      <c r="N1006" s="16" t="b">
        <f t="shared" ca="1" si="49"/>
        <v>0</v>
      </c>
    </row>
    <row r="1007" spans="2:14" x14ac:dyDescent="0.35">
      <c r="B1007" s="12" t="s">
        <v>1033</v>
      </c>
      <c r="L1007" s="5" t="s">
        <v>26</v>
      </c>
      <c r="M1007" s="7" t="b">
        <f t="shared" ca="1" si="48"/>
        <v>0</v>
      </c>
      <c r="N1007" s="16" t="b">
        <f t="shared" ca="1" si="49"/>
        <v>0</v>
      </c>
    </row>
    <row r="1008" spans="2:14" x14ac:dyDescent="0.35">
      <c r="B1008" s="12" t="s">
        <v>1034</v>
      </c>
      <c r="L1008" s="5" t="s">
        <v>25</v>
      </c>
      <c r="M1008" s="7" t="b">
        <f t="shared" ca="1" si="48"/>
        <v>0</v>
      </c>
      <c r="N1008" s="16" t="b">
        <f t="shared" ca="1" si="49"/>
        <v>0</v>
      </c>
    </row>
    <row r="1009" spans="2:14" x14ac:dyDescent="0.35">
      <c r="B1009" s="12" t="s">
        <v>1035</v>
      </c>
      <c r="L1009" s="5" t="s">
        <v>26</v>
      </c>
      <c r="M1009" s="7" t="b">
        <f t="shared" ca="1" si="48"/>
        <v>0</v>
      </c>
      <c r="N1009" s="16" t="b">
        <f t="shared" ca="1" si="49"/>
        <v>0</v>
      </c>
    </row>
    <row r="1010" spans="2:14" x14ac:dyDescent="0.35">
      <c r="B1010" s="12" t="s">
        <v>1036</v>
      </c>
      <c r="L1010" s="5" t="s">
        <v>25</v>
      </c>
      <c r="M1010" s="7" t="b">
        <f t="shared" ca="1" si="48"/>
        <v>0</v>
      </c>
      <c r="N1010" s="16" t="b">
        <f t="shared" ca="1" si="49"/>
        <v>0</v>
      </c>
    </row>
    <row r="1011" spans="2:14" x14ac:dyDescent="0.35">
      <c r="B1011" s="12" t="s">
        <v>1037</v>
      </c>
      <c r="L1011" s="5" t="s">
        <v>26</v>
      </c>
      <c r="M1011" s="7" t="b">
        <f t="shared" ca="1" si="48"/>
        <v>0</v>
      </c>
      <c r="N1011" s="16" t="b">
        <f t="shared" ca="1" si="49"/>
        <v>0</v>
      </c>
    </row>
    <row r="1012" spans="2:14" x14ac:dyDescent="0.35">
      <c r="B1012" s="12" t="s">
        <v>1038</v>
      </c>
      <c r="L1012" s="5" t="s">
        <v>25</v>
      </c>
      <c r="M1012" s="7" t="b">
        <f t="shared" ca="1" si="48"/>
        <v>0</v>
      </c>
      <c r="N1012" s="16" t="b">
        <f t="shared" ca="1" si="49"/>
        <v>0</v>
      </c>
    </row>
    <row r="1013" spans="2:14" x14ac:dyDescent="0.35">
      <c r="B1013" s="12" t="s">
        <v>1039</v>
      </c>
      <c r="L1013" s="5" t="s">
        <v>26</v>
      </c>
      <c r="M1013" s="7" t="b">
        <f t="shared" ca="1" si="48"/>
        <v>0</v>
      </c>
      <c r="N1013" s="16" t="b">
        <f t="shared" ca="1" si="49"/>
        <v>0</v>
      </c>
    </row>
    <row r="1014" spans="2:14" x14ac:dyDescent="0.35">
      <c r="B1014" s="12" t="s">
        <v>1040</v>
      </c>
      <c r="L1014" s="5" t="s">
        <v>25</v>
      </c>
      <c r="M1014" s="7" t="b">
        <f t="shared" ca="1" si="48"/>
        <v>0</v>
      </c>
      <c r="N1014" s="16" t="b">
        <f t="shared" ca="1" si="49"/>
        <v>0</v>
      </c>
    </row>
    <row r="1015" spans="2:14" x14ac:dyDescent="0.35">
      <c r="B1015" s="12" t="s">
        <v>1041</v>
      </c>
      <c r="L1015" s="5" t="s">
        <v>26</v>
      </c>
      <c r="M1015" s="7" t="b">
        <f t="shared" ca="1" si="48"/>
        <v>0</v>
      </c>
      <c r="N1015" s="16" t="b">
        <f t="shared" ca="1" si="49"/>
        <v>0</v>
      </c>
    </row>
    <row r="1016" spans="2:14" x14ac:dyDescent="0.35">
      <c r="B1016" s="12" t="s">
        <v>1042</v>
      </c>
      <c r="L1016" s="5" t="s">
        <v>25</v>
      </c>
      <c r="M1016" s="7" t="b">
        <f t="shared" ca="1" si="48"/>
        <v>0</v>
      </c>
      <c r="N1016" s="16" t="b">
        <f t="shared" ca="1" si="49"/>
        <v>0</v>
      </c>
    </row>
    <row r="1017" spans="2:14" x14ac:dyDescent="0.35">
      <c r="B1017" s="12" t="s">
        <v>1043</v>
      </c>
      <c r="L1017" s="5" t="s">
        <v>26</v>
      </c>
      <c r="M1017" s="7" t="b">
        <f t="shared" ca="1" si="48"/>
        <v>0</v>
      </c>
      <c r="N1017" s="16" t="b">
        <f t="shared" ca="1" si="49"/>
        <v>0</v>
      </c>
    </row>
    <row r="1018" spans="2:14" x14ac:dyDescent="0.35">
      <c r="B1018" s="12" t="s">
        <v>1044</v>
      </c>
      <c r="L1018" s="5" t="s">
        <v>25</v>
      </c>
      <c r="M1018" s="7" t="b">
        <f t="shared" ca="1" si="48"/>
        <v>0</v>
      </c>
      <c r="N1018" s="16" t="b">
        <f t="shared" ca="1" si="49"/>
        <v>0</v>
      </c>
    </row>
    <row r="1019" spans="2:14" x14ac:dyDescent="0.35">
      <c r="B1019" s="12" t="s">
        <v>1045</v>
      </c>
      <c r="L1019" s="5" t="s">
        <v>26</v>
      </c>
      <c r="M1019" s="7" t="b">
        <f t="shared" ca="1" si="48"/>
        <v>0</v>
      </c>
      <c r="N1019" s="16" t="b">
        <f t="shared" ca="1" si="49"/>
        <v>0</v>
      </c>
    </row>
    <row r="1020" spans="2:14" x14ac:dyDescent="0.35">
      <c r="B1020" s="12" t="s">
        <v>1046</v>
      </c>
      <c r="L1020" s="5" t="s">
        <v>25</v>
      </c>
      <c r="M1020" s="7" t="b">
        <f t="shared" ca="1" si="48"/>
        <v>0</v>
      </c>
      <c r="N1020" s="16" t="b">
        <f t="shared" ca="1" si="49"/>
        <v>0</v>
      </c>
    </row>
    <row r="1021" spans="2:14" x14ac:dyDescent="0.35">
      <c r="B1021" s="12" t="s">
        <v>1047</v>
      </c>
      <c r="L1021" s="5" t="s">
        <v>26</v>
      </c>
      <c r="M1021" s="7" t="b">
        <f t="shared" ca="1" si="48"/>
        <v>0</v>
      </c>
      <c r="N1021" s="16" t="b">
        <f t="shared" ca="1" si="49"/>
        <v>0</v>
      </c>
    </row>
    <row r="1022" spans="2:14" x14ac:dyDescent="0.35">
      <c r="B1022" s="12" t="s">
        <v>1048</v>
      </c>
      <c r="L1022" s="5" t="s">
        <v>25</v>
      </c>
      <c r="M1022" s="7" t="b">
        <f t="shared" ca="1" si="48"/>
        <v>0</v>
      </c>
      <c r="N1022" s="16" t="b">
        <f t="shared" ca="1" si="49"/>
        <v>0</v>
      </c>
    </row>
    <row r="1023" spans="2:14" x14ac:dyDescent="0.35">
      <c r="B1023" s="12" t="s">
        <v>1049</v>
      </c>
      <c r="L1023" s="5" t="s">
        <v>26</v>
      </c>
      <c r="M1023" s="7" t="b">
        <f t="shared" ca="1" si="48"/>
        <v>0</v>
      </c>
      <c r="N1023" s="16" t="b">
        <f t="shared" ca="1" si="49"/>
        <v>0</v>
      </c>
    </row>
    <row r="1024" spans="2:14" x14ac:dyDescent="0.35">
      <c r="B1024" s="12" t="s">
        <v>1050</v>
      </c>
      <c r="L1024" s="5" t="s">
        <v>25</v>
      </c>
      <c r="M1024" s="7" t="b">
        <f t="shared" ca="1" si="48"/>
        <v>0</v>
      </c>
      <c r="N1024" s="16" t="b">
        <f t="shared" ca="1" si="49"/>
        <v>0</v>
      </c>
    </row>
    <row r="1025" spans="2:14" x14ac:dyDescent="0.35">
      <c r="B1025" s="12" t="s">
        <v>1051</v>
      </c>
      <c r="L1025" s="5" t="s">
        <v>26</v>
      </c>
      <c r="M1025" s="7" t="b">
        <f t="shared" ca="1" si="48"/>
        <v>0</v>
      </c>
      <c r="N1025" s="16" t="b">
        <f t="shared" ca="1" si="49"/>
        <v>0</v>
      </c>
    </row>
    <row r="1026" spans="2:14" x14ac:dyDescent="0.35">
      <c r="B1026" s="12" t="s">
        <v>1052</v>
      </c>
      <c r="L1026" s="5" t="s">
        <v>25</v>
      </c>
      <c r="M1026" s="7" t="b">
        <f t="shared" ca="1" si="48"/>
        <v>0</v>
      </c>
      <c r="N1026" s="16" t="b">
        <f t="shared" ca="1" si="49"/>
        <v>0</v>
      </c>
    </row>
    <row r="1027" spans="2:14" x14ac:dyDescent="0.35">
      <c r="B1027" s="12" t="s">
        <v>1053</v>
      </c>
      <c r="L1027" s="5" t="s">
        <v>26</v>
      </c>
      <c r="M1027" s="7" t="b">
        <f t="shared" ref="M1027:M1037" ca="1" si="50">AND(A1027&gt;=(TODAY()-28),A1027&lt;TODAY())</f>
        <v>0</v>
      </c>
      <c r="N1027" s="16" t="b">
        <f t="shared" ref="N1027:N1037" ca="1" si="51">AND(A1027&gt;=(TODAY()-56),A1027&lt;(TODAY()-28))</f>
        <v>0</v>
      </c>
    </row>
    <row r="1028" spans="2:14" x14ac:dyDescent="0.35">
      <c r="B1028" s="12" t="s">
        <v>1054</v>
      </c>
      <c r="L1028" s="5" t="s">
        <v>25</v>
      </c>
      <c r="M1028" s="7" t="b">
        <f t="shared" ca="1" si="50"/>
        <v>0</v>
      </c>
      <c r="N1028" s="16" t="b">
        <f t="shared" ca="1" si="51"/>
        <v>0</v>
      </c>
    </row>
    <row r="1029" spans="2:14" x14ac:dyDescent="0.35">
      <c r="B1029" s="12" t="s">
        <v>1055</v>
      </c>
      <c r="L1029" s="5" t="s">
        <v>26</v>
      </c>
      <c r="M1029" s="7" t="b">
        <f t="shared" ca="1" si="50"/>
        <v>0</v>
      </c>
      <c r="N1029" s="16" t="b">
        <f t="shared" ca="1" si="51"/>
        <v>0</v>
      </c>
    </row>
    <row r="1030" spans="2:14" x14ac:dyDescent="0.35">
      <c r="B1030" s="12" t="s">
        <v>1056</v>
      </c>
      <c r="L1030" s="5" t="s">
        <v>25</v>
      </c>
      <c r="M1030" s="7" t="b">
        <f t="shared" ca="1" si="50"/>
        <v>0</v>
      </c>
      <c r="N1030" s="16" t="b">
        <f t="shared" ca="1" si="51"/>
        <v>0</v>
      </c>
    </row>
    <row r="1031" spans="2:14" x14ac:dyDescent="0.35">
      <c r="B1031" s="12" t="s">
        <v>1057</v>
      </c>
      <c r="L1031" s="5" t="s">
        <v>26</v>
      </c>
      <c r="M1031" s="7" t="b">
        <f t="shared" ca="1" si="50"/>
        <v>0</v>
      </c>
      <c r="N1031" s="16" t="b">
        <f t="shared" ca="1" si="51"/>
        <v>0</v>
      </c>
    </row>
    <row r="1032" spans="2:14" x14ac:dyDescent="0.35">
      <c r="B1032" s="12" t="s">
        <v>1058</v>
      </c>
      <c r="L1032" s="5" t="s">
        <v>25</v>
      </c>
      <c r="M1032" s="7" t="b">
        <f t="shared" ca="1" si="50"/>
        <v>0</v>
      </c>
      <c r="N1032" s="16" t="b">
        <f t="shared" ca="1" si="51"/>
        <v>0</v>
      </c>
    </row>
    <row r="1033" spans="2:14" x14ac:dyDescent="0.35">
      <c r="B1033" s="12" t="s">
        <v>1059</v>
      </c>
      <c r="L1033" s="5" t="s">
        <v>26</v>
      </c>
      <c r="M1033" s="7" t="b">
        <f t="shared" ca="1" si="50"/>
        <v>0</v>
      </c>
      <c r="N1033" s="16" t="b">
        <f t="shared" ca="1" si="51"/>
        <v>0</v>
      </c>
    </row>
    <row r="1034" spans="2:14" x14ac:dyDescent="0.35">
      <c r="B1034" s="12" t="s">
        <v>1060</v>
      </c>
      <c r="L1034" s="5" t="s">
        <v>25</v>
      </c>
      <c r="M1034" s="7" t="b">
        <f t="shared" ca="1" si="50"/>
        <v>0</v>
      </c>
      <c r="N1034" s="16" t="b">
        <f t="shared" ca="1" si="51"/>
        <v>0</v>
      </c>
    </row>
    <row r="1035" spans="2:14" x14ac:dyDescent="0.35">
      <c r="B1035" s="12" t="s">
        <v>1061</v>
      </c>
      <c r="L1035" s="5" t="s">
        <v>26</v>
      </c>
      <c r="M1035" s="7" t="b">
        <f t="shared" ca="1" si="50"/>
        <v>0</v>
      </c>
      <c r="N1035" s="16" t="b">
        <f t="shared" ca="1" si="51"/>
        <v>0</v>
      </c>
    </row>
    <row r="1036" spans="2:14" x14ac:dyDescent="0.35">
      <c r="B1036" s="12" t="s">
        <v>1062</v>
      </c>
      <c r="L1036" s="5" t="s">
        <v>25</v>
      </c>
      <c r="M1036" s="7" t="b">
        <f t="shared" ca="1" si="50"/>
        <v>0</v>
      </c>
      <c r="N1036" s="16" t="b">
        <f t="shared" ca="1" si="51"/>
        <v>0</v>
      </c>
    </row>
    <row r="1037" spans="2:14" x14ac:dyDescent="0.35">
      <c r="B1037" s="13" t="s">
        <v>1063</v>
      </c>
      <c r="L1037" s="10" t="s">
        <v>26</v>
      </c>
      <c r="M1037" s="14" t="b">
        <f t="shared" ca="1" si="50"/>
        <v>0</v>
      </c>
      <c r="N1037" s="17" t="b">
        <f t="shared" ca="1" si="51"/>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E7923-CC62-4C6F-BCCF-0C5A0A04E42A}">
  <sheetPr codeName="Sheet1"/>
  <dimension ref="B9:K51"/>
  <sheetViews>
    <sheetView zoomScale="55" zoomScaleNormal="55" workbookViewId="0">
      <selection activeCell="F24" activeCellId="7" sqref="P23 F10 F12 F14 F16 F18 F22 F24"/>
    </sheetView>
  </sheetViews>
  <sheetFormatPr defaultRowHeight="14.5" x14ac:dyDescent="0.35"/>
  <cols>
    <col min="1" max="1" width="8.7265625" style="24"/>
    <col min="2" max="2" width="4.90625" style="24" customWidth="1"/>
    <col min="3" max="3" width="18.26953125" style="24" customWidth="1"/>
    <col min="4" max="4" width="5.26953125" style="24" hidden="1" customWidth="1"/>
    <col min="5" max="5" width="0.36328125" style="24" customWidth="1"/>
    <col min="6" max="6" width="27.7265625" style="24" customWidth="1"/>
    <col min="7" max="7" width="3.54296875" style="24" customWidth="1"/>
    <col min="8" max="8" width="2" style="24" customWidth="1"/>
    <col min="9" max="9" width="12.7265625" style="24" customWidth="1"/>
    <col min="10" max="16384" width="8.7265625" style="24"/>
  </cols>
  <sheetData>
    <row r="9" spans="2:11" x14ac:dyDescent="0.35">
      <c r="B9" s="27"/>
      <c r="C9" s="27"/>
      <c r="D9" s="27"/>
      <c r="E9" s="27"/>
      <c r="F9" s="27"/>
      <c r="G9" s="27"/>
      <c r="H9" s="27"/>
      <c r="I9" s="27"/>
      <c r="J9" s="27"/>
      <c r="K9" s="27"/>
    </row>
    <row r="10" spans="2:11" ht="19.5" customHeight="1" x14ac:dyDescent="0.5">
      <c r="B10" s="27"/>
      <c r="C10" s="30" t="s">
        <v>1118</v>
      </c>
      <c r="D10" s="27"/>
      <c r="E10" s="27"/>
      <c r="F10" s="28"/>
      <c r="G10" s="33" t="str">
        <f>IF(ISBLANK(F10),"","P")</f>
        <v/>
      </c>
      <c r="H10" s="29" t="str">
        <f>IF(F10="","*","")</f>
        <v>*</v>
      </c>
      <c r="I10" s="29"/>
      <c r="J10" s="27"/>
      <c r="K10" s="27"/>
    </row>
    <row r="11" spans="2:11" ht="19.5" customHeight="1" x14ac:dyDescent="0.5">
      <c r="B11" s="27"/>
      <c r="C11" s="30"/>
      <c r="D11" s="27"/>
      <c r="E11" s="27"/>
      <c r="F11" s="32"/>
      <c r="G11" s="35"/>
      <c r="H11" s="29"/>
      <c r="I11" s="27"/>
      <c r="J11" s="27"/>
      <c r="K11" s="27"/>
    </row>
    <row r="12" spans="2:11" ht="19.5" customHeight="1" x14ac:dyDescent="0.5">
      <c r="B12" s="27"/>
      <c r="C12" s="30" t="s">
        <v>1125</v>
      </c>
      <c r="D12" s="27"/>
      <c r="E12" s="27"/>
      <c r="F12" s="31"/>
      <c r="G12" s="33" t="str">
        <f>IF(ISBLANK(F12),"","P")</f>
        <v/>
      </c>
      <c r="H12" s="29" t="str">
        <f>IF(F12="","*","")</f>
        <v>*</v>
      </c>
      <c r="I12" s="27"/>
      <c r="J12" s="27"/>
      <c r="K12" s="27"/>
    </row>
    <row r="13" spans="2:11" x14ac:dyDescent="0.35">
      <c r="B13" s="27"/>
      <c r="C13" s="27"/>
      <c r="D13" s="27"/>
      <c r="E13" s="27"/>
      <c r="F13" s="27"/>
      <c r="G13" s="27"/>
      <c r="H13" s="27"/>
      <c r="I13" s="27"/>
      <c r="J13" s="27"/>
      <c r="K13" s="27"/>
    </row>
    <row r="14" spans="2:11" ht="16.5" customHeight="1" x14ac:dyDescent="0.5">
      <c r="B14" s="27"/>
      <c r="C14" s="30" t="s">
        <v>1119</v>
      </c>
      <c r="D14" s="27"/>
      <c r="E14" s="27"/>
      <c r="F14" s="34"/>
      <c r="G14" s="33" t="str">
        <f>IF(ISBLANK(F14),"","P")</f>
        <v/>
      </c>
      <c r="H14" s="29" t="str">
        <f>IF(F14="","*","")</f>
        <v>*</v>
      </c>
      <c r="I14" s="27"/>
      <c r="J14" s="27"/>
      <c r="K14" s="27"/>
    </row>
    <row r="15" spans="2:11" x14ac:dyDescent="0.35">
      <c r="B15" s="27"/>
      <c r="C15" s="27"/>
      <c r="D15" s="27"/>
      <c r="E15" s="27"/>
      <c r="F15" s="27"/>
      <c r="G15" s="27"/>
      <c r="H15" s="27"/>
      <c r="I15" s="27"/>
      <c r="J15" s="27"/>
      <c r="K15" s="27"/>
    </row>
    <row r="16" spans="2:11" ht="21" x14ac:dyDescent="0.5">
      <c r="B16" s="27"/>
      <c r="C16" s="30" t="s">
        <v>1120</v>
      </c>
      <c r="D16" s="27"/>
      <c r="E16" s="27"/>
      <c r="F16" s="36"/>
      <c r="G16" s="33" t="str">
        <f>IF(ISBLANK(F16),"","P")</f>
        <v/>
      </c>
      <c r="H16" s="29" t="str">
        <f>IF(F16="","*","")</f>
        <v>*</v>
      </c>
      <c r="I16" s="27"/>
      <c r="J16" s="27"/>
      <c r="K16" s="27"/>
    </row>
    <row r="17" spans="2:11" x14ac:dyDescent="0.35">
      <c r="B17" s="27"/>
      <c r="C17" s="27"/>
      <c r="D17" s="27"/>
      <c r="E17" s="27"/>
      <c r="F17" s="27"/>
      <c r="G17" s="27"/>
      <c r="H17" s="27"/>
      <c r="I17" s="27"/>
      <c r="J17" s="27"/>
      <c r="K17" s="27"/>
    </row>
    <row r="18" spans="2:11" ht="21" x14ac:dyDescent="0.5">
      <c r="B18" s="27"/>
      <c r="C18" s="30" t="s">
        <v>1121</v>
      </c>
      <c r="D18" s="27"/>
      <c r="E18" s="27"/>
      <c r="F18" s="28"/>
      <c r="G18" s="33" t="str">
        <f>IF(ISBLANK(F18),"","P")</f>
        <v/>
      </c>
      <c r="H18" s="29" t="str">
        <f>IF(F18="","*","")</f>
        <v>*</v>
      </c>
      <c r="I18" s="27"/>
      <c r="J18" s="27"/>
      <c r="K18" s="27"/>
    </row>
    <row r="19" spans="2:11" x14ac:dyDescent="0.35">
      <c r="B19" s="27"/>
      <c r="C19" s="27"/>
      <c r="D19" s="27"/>
      <c r="E19" s="27"/>
      <c r="F19" s="27"/>
      <c r="G19" s="27"/>
      <c r="H19" s="27"/>
      <c r="I19" s="27"/>
      <c r="J19" s="27"/>
      <c r="K19" s="27"/>
    </row>
    <row r="20" spans="2:11" ht="21" x14ac:dyDescent="0.5">
      <c r="B20" s="27"/>
      <c r="C20" s="30" t="s">
        <v>1122</v>
      </c>
      <c r="D20" s="27"/>
      <c r="E20" s="27"/>
      <c r="F20" s="28"/>
      <c r="G20" s="33" t="str">
        <f>IF(ISBLANK(F20),"","P")</f>
        <v/>
      </c>
      <c r="H20" s="29" t="str">
        <f>IF(F20="","*","")</f>
        <v>*</v>
      </c>
      <c r="I20" s="27"/>
      <c r="J20" s="27"/>
      <c r="K20" s="27"/>
    </row>
    <row r="21" spans="2:11" x14ac:dyDescent="0.35">
      <c r="B21" s="27"/>
      <c r="C21" s="27"/>
      <c r="D21" s="27"/>
      <c r="E21" s="27"/>
      <c r="F21" s="27"/>
      <c r="G21" s="27"/>
      <c r="H21" s="27"/>
      <c r="I21" s="27"/>
      <c r="J21" s="27"/>
      <c r="K21" s="27"/>
    </row>
    <row r="22" spans="2:11" ht="21" x14ac:dyDescent="0.5">
      <c r="B22" s="27"/>
      <c r="C22" s="30" t="s">
        <v>1123</v>
      </c>
      <c r="D22" s="27"/>
      <c r="E22" s="27"/>
      <c r="F22" s="36"/>
      <c r="G22" s="33" t="str">
        <f>IF(ISBLANK(F22),"","P")</f>
        <v/>
      </c>
      <c r="H22" s="29" t="str">
        <f>IF(F22="","*","")</f>
        <v>*</v>
      </c>
      <c r="I22" s="27"/>
      <c r="J22" s="27"/>
      <c r="K22" s="27"/>
    </row>
    <row r="23" spans="2:11" x14ac:dyDescent="0.35">
      <c r="B23" s="27"/>
      <c r="C23" s="27"/>
      <c r="D23" s="27"/>
      <c r="E23" s="27"/>
      <c r="F23" s="27"/>
      <c r="G23" s="27"/>
      <c r="H23" s="27"/>
      <c r="I23" s="27"/>
      <c r="J23" s="27"/>
      <c r="K23" s="27"/>
    </row>
    <row r="24" spans="2:11" ht="21" x14ac:dyDescent="0.5">
      <c r="B24" s="27"/>
      <c r="C24" s="30" t="s">
        <v>1124</v>
      </c>
      <c r="D24" s="27"/>
      <c r="E24" s="27"/>
      <c r="F24" s="38"/>
      <c r="G24" s="33" t="str">
        <f>IF(ISBLANK(F24),"","P")</f>
        <v/>
      </c>
      <c r="H24" s="29" t="str">
        <f>IF(F24="","*","")</f>
        <v>*</v>
      </c>
      <c r="I24" s="27"/>
      <c r="J24" s="27"/>
      <c r="K24" s="27"/>
    </row>
    <row r="25" spans="2:11" x14ac:dyDescent="0.35">
      <c r="B25" s="27"/>
      <c r="C25" s="27"/>
      <c r="D25" s="27"/>
      <c r="E25" s="27"/>
      <c r="F25" s="27"/>
      <c r="G25" s="27"/>
      <c r="H25" s="27"/>
      <c r="I25" s="27"/>
      <c r="J25" s="27"/>
      <c r="K25" s="27"/>
    </row>
    <row r="26" spans="2:11" x14ac:dyDescent="0.35">
      <c r="B26" s="27"/>
      <c r="C26" s="27"/>
      <c r="D26" s="27"/>
      <c r="E26" s="27"/>
      <c r="F26" s="44" t="s">
        <v>1126</v>
      </c>
      <c r="G26" s="45"/>
      <c r="H26" s="45"/>
      <c r="I26" s="27"/>
      <c r="J26" s="27"/>
      <c r="K26" s="27"/>
    </row>
    <row r="27" spans="2:11" x14ac:dyDescent="0.35">
      <c r="B27" s="27"/>
      <c r="C27" s="27"/>
      <c r="D27" s="27"/>
      <c r="E27" s="27"/>
      <c r="F27" s="45"/>
      <c r="G27" s="45"/>
      <c r="H27" s="45"/>
      <c r="I27" s="27"/>
      <c r="J27" s="27"/>
      <c r="K27" s="27"/>
    </row>
    <row r="28" spans="2:11" x14ac:dyDescent="0.35">
      <c r="B28" s="27"/>
      <c r="C28" s="27"/>
      <c r="D28" s="27"/>
      <c r="E28" s="27"/>
      <c r="F28" s="46" t="s">
        <v>1127</v>
      </c>
      <c r="G28" s="47"/>
      <c r="H28" s="47"/>
      <c r="I28" s="48"/>
      <c r="J28" s="27"/>
      <c r="K28" s="37" t="b">
        <v>1</v>
      </c>
    </row>
    <row r="29" spans="2:11" x14ac:dyDescent="0.35">
      <c r="B29" s="27"/>
      <c r="C29" s="27"/>
      <c r="D29" s="27"/>
      <c r="E29" s="27"/>
      <c r="F29" s="49"/>
      <c r="G29" s="50"/>
      <c r="H29" s="50"/>
      <c r="I29" s="51"/>
      <c r="J29" s="27"/>
      <c r="K29" s="27">
        <v>1</v>
      </c>
    </row>
    <row r="30" spans="2:11" x14ac:dyDescent="0.35">
      <c r="B30" s="27"/>
      <c r="C30" s="27"/>
      <c r="D30" s="27"/>
      <c r="E30" s="27"/>
      <c r="F30" s="49"/>
      <c r="G30" s="50"/>
      <c r="H30" s="50"/>
      <c r="I30" s="51"/>
      <c r="J30" s="27"/>
      <c r="K30" s="27"/>
    </row>
    <row r="31" spans="2:11" x14ac:dyDescent="0.35">
      <c r="B31" s="27"/>
      <c r="C31" s="27"/>
      <c r="D31" s="27"/>
      <c r="E31" s="27"/>
      <c r="F31" s="49"/>
      <c r="G31" s="50"/>
      <c r="H31" s="50"/>
      <c r="I31" s="51"/>
      <c r="J31" s="27"/>
      <c r="K31" s="27"/>
    </row>
    <row r="32" spans="2:11" x14ac:dyDescent="0.35">
      <c r="B32" s="27"/>
      <c r="C32" s="27"/>
      <c r="D32" s="27"/>
      <c r="E32" s="27"/>
      <c r="F32" s="52"/>
      <c r="G32" s="53"/>
      <c r="H32" s="53"/>
      <c r="I32" s="54"/>
      <c r="J32" s="27"/>
      <c r="K32" s="27"/>
    </row>
    <row r="33" spans="2:11" x14ac:dyDescent="0.35">
      <c r="B33" s="27"/>
      <c r="C33" s="27"/>
      <c r="D33" s="27"/>
      <c r="E33" s="27"/>
      <c r="F33" s="27"/>
      <c r="G33" s="27"/>
      <c r="H33" s="27"/>
      <c r="I33" s="27"/>
      <c r="J33" s="27"/>
      <c r="K33" s="27"/>
    </row>
    <row r="34" spans="2:11" x14ac:dyDescent="0.35">
      <c r="B34" s="27"/>
      <c r="C34" s="27"/>
      <c r="D34" s="27"/>
      <c r="E34" s="27"/>
      <c r="F34" s="27"/>
      <c r="G34" s="27"/>
      <c r="H34" s="27"/>
      <c r="I34" s="27"/>
      <c r="J34" s="27"/>
      <c r="K34" s="27"/>
    </row>
    <row r="35" spans="2:11" x14ac:dyDescent="0.35">
      <c r="B35" s="27"/>
      <c r="C35" s="27"/>
      <c r="D35" s="27"/>
      <c r="E35" s="27"/>
      <c r="F35" s="27"/>
      <c r="G35" s="27"/>
      <c r="H35" s="27"/>
      <c r="I35" s="27"/>
      <c r="J35" s="27"/>
      <c r="K35" s="27"/>
    </row>
    <row r="36" spans="2:11" x14ac:dyDescent="0.35">
      <c r="B36" s="27"/>
      <c r="C36" s="27"/>
      <c r="D36" s="27"/>
      <c r="E36" s="27"/>
      <c r="F36" s="27"/>
      <c r="G36" s="27"/>
      <c r="H36" s="27"/>
      <c r="I36" s="27"/>
      <c r="J36" s="27"/>
      <c r="K36" s="27"/>
    </row>
    <row r="37" spans="2:11" x14ac:dyDescent="0.35">
      <c r="B37" s="27"/>
      <c r="C37" s="27"/>
      <c r="D37" s="27"/>
      <c r="E37" s="27"/>
      <c r="F37" s="27"/>
      <c r="G37" s="27"/>
      <c r="H37" s="27"/>
      <c r="I37" s="27"/>
      <c r="J37" s="27"/>
      <c r="K37" s="27"/>
    </row>
    <row r="38" spans="2:11" x14ac:dyDescent="0.35">
      <c r="B38" s="27"/>
      <c r="C38" s="27"/>
      <c r="D38" s="27"/>
      <c r="E38" s="27"/>
      <c r="F38" s="27"/>
      <c r="G38" s="27"/>
      <c r="H38" s="27"/>
      <c r="I38" s="27"/>
      <c r="J38" s="27"/>
      <c r="K38" s="27"/>
    </row>
    <row r="39" spans="2:11" x14ac:dyDescent="0.35">
      <c r="B39" s="27"/>
      <c r="C39" s="27"/>
      <c r="D39" s="27"/>
      <c r="E39" s="27"/>
      <c r="F39" s="27"/>
      <c r="G39" s="27"/>
      <c r="H39" s="27"/>
      <c r="I39" s="27"/>
      <c r="J39" s="27"/>
      <c r="K39" s="27"/>
    </row>
    <row r="49" spans="3:3" ht="46" customHeight="1" x14ac:dyDescent="0.35">
      <c r="C49" s="40" t="s">
        <v>1128</v>
      </c>
    </row>
    <row r="50" spans="3:3" ht="6.5" customHeight="1" x14ac:dyDescent="0.35"/>
    <row r="51" spans="3:3" ht="46" customHeight="1" x14ac:dyDescent="0.35">
      <c r="C51" s="39" t="s">
        <v>1129</v>
      </c>
    </row>
  </sheetData>
  <mergeCells count="2">
    <mergeCell ref="F26:H27"/>
    <mergeCell ref="F28:I32"/>
  </mergeCells>
  <dataValidations count="6">
    <dataValidation type="custom" allowBlank="1" showInputMessage="1" showErrorMessage="1" sqref="F16" xr:uid="{58208531-F108-4687-A140-7E56DFA16930}">
      <formula1>AND(ISNUMBER(F16),LEN(F16)=10)</formula1>
    </dataValidation>
    <dataValidation type="date" allowBlank="1" showInputMessage="1" showErrorMessage="1" sqref="F24" xr:uid="{6FC74C52-287D-43D2-8D60-39270D529174}">
      <formula1>36526</formula1>
      <formula2>44197</formula2>
    </dataValidation>
    <dataValidation type="custom" allowBlank="1" showInputMessage="1" showErrorMessage="1" sqref="F22" xr:uid="{9B01B1EA-6EF1-4D20-A1A1-147BF7E9AC8E}">
      <formula1>AND(ISNUMBER(F22),LEN(F22)=8)</formula1>
    </dataValidation>
    <dataValidation type="custom" allowBlank="1" showInputMessage="1" showErrorMessage="1" sqref="F12" xr:uid="{D869304C-1404-4A5D-90AC-D3FD311294BA}">
      <formula1>ISTEXT(F12)</formula1>
    </dataValidation>
    <dataValidation type="list" allowBlank="1" showInputMessage="1" showErrorMessage="1" sqref="F18" xr:uid="{F097304B-BC60-44CA-B75E-3E0470BF7185}">
      <formula1>"Select States ,Andhra Pradesh,Arunachal Pradesh,Assam,Bihar,Chhattisgarh,Goa,Gujarat,Haryana,Himachal Pradesh,Jharkhand,Karnataka,Kerala,Madhya Pradesh,Maharashtra ,Manipur,Meghalaya,Mizoram,Nagaland,Odisha,Punjab,Rajasthan,Sikkim,Tamil Nadu ,Telangana,"</formula1>
    </dataValidation>
    <dataValidation type="custom" allowBlank="1" showInputMessage="1" showErrorMessage="1" sqref="F14" xr:uid="{1EFB03F5-38B5-461C-97B6-83A3B75BEFC1}">
      <formula1>ISNUMBER(MATCH("*@*.?*",F14,0))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Option Button 1">
              <controlPr defaultSize="0" autoFill="0" autoLine="0" autoPict="0">
                <anchor moveWithCells="1">
                  <from>
                    <xdr:col>5</xdr:col>
                    <xdr:colOff>38100</xdr:colOff>
                    <xdr:row>19</xdr:row>
                    <xdr:rowOff>12700</xdr:rowOff>
                  </from>
                  <to>
                    <xdr:col>5</xdr:col>
                    <xdr:colOff>939800</xdr:colOff>
                    <xdr:row>20</xdr:row>
                    <xdr:rowOff>76200</xdr:rowOff>
                  </to>
                </anchor>
              </controlPr>
            </control>
          </mc:Choice>
        </mc:AlternateContent>
        <mc:AlternateContent xmlns:mc="http://schemas.openxmlformats.org/markup-compatibility/2006">
          <mc:Choice Requires="x14">
            <control shapeId="11266" r:id="rId5" name="Option Button 2">
              <controlPr defaultSize="0" autoFill="0" autoLine="0" autoPict="0">
                <anchor moveWithCells="1">
                  <from>
                    <xdr:col>5</xdr:col>
                    <xdr:colOff>863600</xdr:colOff>
                    <xdr:row>19</xdr:row>
                    <xdr:rowOff>25400</xdr:rowOff>
                  </from>
                  <to>
                    <xdr:col>6</xdr:col>
                    <xdr:colOff>107950</xdr:colOff>
                    <xdr:row>20</xdr:row>
                    <xdr:rowOff>50800</xdr:rowOff>
                  </to>
                </anchor>
              </controlPr>
            </control>
          </mc:Choice>
        </mc:AlternateContent>
        <mc:AlternateContent xmlns:mc="http://schemas.openxmlformats.org/markup-compatibility/2006">
          <mc:Choice Requires="x14">
            <control shapeId="11267" r:id="rId6" name="Check Box 3">
              <controlPr defaultSize="0" autoFill="0" autoLine="0" autoPict="0">
                <anchor moveWithCells="1">
                  <from>
                    <xdr:col>5</xdr:col>
                    <xdr:colOff>209550</xdr:colOff>
                    <xdr:row>25</xdr:row>
                    <xdr:rowOff>158750</xdr:rowOff>
                  </from>
                  <to>
                    <xdr:col>5</xdr:col>
                    <xdr:colOff>869950</xdr:colOff>
                    <xdr:row>26</xdr:row>
                    <xdr:rowOff>158750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BAACB99F-BC7E-4355-BF5B-AC6A2E78B00A}">
            <xm:f>AND($K$28=TRUE,COUNTBLANK(Sheet1!$A$2:$H$2)=0)</xm:f>
            <x14:dxf>
              <font>
                <b/>
                <i val="0"/>
                <color theme="0"/>
              </font>
              <fill>
                <patternFill>
                  <bgColor theme="9" tint="-0.499984740745262"/>
                </patternFill>
              </fill>
            </x14:dxf>
          </x14:cfRule>
          <xm:sqref>C51</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347D8-632B-4843-9FFC-6B96110B3580}">
  <sheetPr codeName="Sheet8"/>
  <dimension ref="A1:H2"/>
  <sheetViews>
    <sheetView workbookViewId="0">
      <selection activeCell="A2" sqref="A2:H2"/>
    </sheetView>
  </sheetViews>
  <sheetFormatPr defaultRowHeight="14.5" x14ac:dyDescent="0.35"/>
  <cols>
    <col min="1" max="1" width="11.7265625" customWidth="1"/>
    <col min="4" max="4" width="10.7265625" customWidth="1"/>
    <col min="7" max="7" width="10.1796875" bestFit="1" customWidth="1"/>
    <col min="8" max="8" width="11.26953125" customWidth="1"/>
  </cols>
  <sheetData>
    <row r="1" spans="1:8" x14ac:dyDescent="0.35">
      <c r="A1" t="s">
        <v>1130</v>
      </c>
      <c r="B1" t="s">
        <v>1131</v>
      </c>
      <c r="C1" t="s">
        <v>1132</v>
      </c>
      <c r="D1" t="s">
        <v>1133</v>
      </c>
      <c r="E1" t="s">
        <v>1134</v>
      </c>
      <c r="F1" t="s">
        <v>1135</v>
      </c>
      <c r="G1" t="s">
        <v>1136</v>
      </c>
      <c r="H1" t="s">
        <v>1137</v>
      </c>
    </row>
    <row r="2" spans="1:8" x14ac:dyDescent="0.35">
      <c r="A2" t="str">
        <f>IF('FROM Registration'!F10=0,"",'FROM Registration'!F10)</f>
        <v/>
      </c>
      <c r="B2" t="str">
        <f>IF('FROM Registration'!F12=0,"",'FROM Registration'!F12)</f>
        <v/>
      </c>
      <c r="C2" t="str">
        <f>IF('FROM Registration'!F14=0,"",'FROM Registration'!F14)</f>
        <v/>
      </c>
      <c r="D2" s="41" t="str">
        <f>IF('FROM Registration'!F16=0,"",'FROM Registration'!F16)</f>
        <v/>
      </c>
      <c r="E2" t="str">
        <f>IF('FROM Registration'!F18=0,"",'FROM Registration'!F18)</f>
        <v/>
      </c>
      <c r="F2" t="str">
        <f>IF('FROM Registration'!K29=2,"FEMALE","MALE")</f>
        <v>MALE</v>
      </c>
      <c r="G2" s="41" t="str">
        <f>IF('FROM Registration'!F22=0,"",'FROM Registration'!F22)</f>
        <v/>
      </c>
      <c r="H2" s="42" t="str">
        <f>IF('FROM Registration'!F24=0,"",'FROM Registration'!F24)</f>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5D6CF-3B0F-413E-81EB-BF0BB8D7EEF1}">
  <dimension ref="A1:H7"/>
  <sheetViews>
    <sheetView workbookViewId="0">
      <selection activeCell="D16" sqref="D16"/>
    </sheetView>
  </sheetViews>
  <sheetFormatPr defaultRowHeight="14.5" x14ac:dyDescent="0.35"/>
  <cols>
    <col min="1" max="1" width="14.08984375" customWidth="1"/>
    <col min="2" max="2" width="14.26953125" customWidth="1"/>
    <col min="3" max="3" width="23.08984375" customWidth="1"/>
    <col min="4" max="4" width="20.90625" customWidth="1"/>
    <col min="5" max="5" width="13.26953125" customWidth="1"/>
    <col min="7" max="7" width="14.08984375" customWidth="1"/>
    <col min="8" max="8" width="10.08984375" style="42" bestFit="1" customWidth="1"/>
  </cols>
  <sheetData>
    <row r="1" spans="1:8" x14ac:dyDescent="0.35">
      <c r="A1" s="25" t="s">
        <v>1130</v>
      </c>
      <c r="B1" s="25" t="s">
        <v>1131</v>
      </c>
      <c r="C1" s="25" t="s">
        <v>1132</v>
      </c>
      <c r="D1" s="25" t="s">
        <v>1133</v>
      </c>
      <c r="E1" s="25" t="s">
        <v>1134</v>
      </c>
      <c r="F1" s="25" t="s">
        <v>1135</v>
      </c>
      <c r="G1" s="25" t="s">
        <v>1136</v>
      </c>
      <c r="H1" s="43" t="s">
        <v>1137</v>
      </c>
    </row>
    <row r="2" spans="1:8" x14ac:dyDescent="0.35">
      <c r="A2">
        <v>101</v>
      </c>
      <c r="B2" t="s">
        <v>1141</v>
      </c>
      <c r="C2" t="s">
        <v>1139</v>
      </c>
      <c r="D2">
        <v>7903412282</v>
      </c>
      <c r="E2" t="s">
        <v>1142</v>
      </c>
      <c r="F2" t="s">
        <v>1138</v>
      </c>
      <c r="G2">
        <v>12345678</v>
      </c>
      <c r="H2" s="42">
        <v>38415</v>
      </c>
    </row>
    <row r="3" spans="1:8" x14ac:dyDescent="0.35">
      <c r="A3" t="s">
        <v>1143</v>
      </c>
      <c r="B3" t="s">
        <v>1143</v>
      </c>
      <c r="C3" t="s">
        <v>1143</v>
      </c>
      <c r="D3" t="s">
        <v>1143</v>
      </c>
      <c r="E3" t="s">
        <v>1143</v>
      </c>
      <c r="F3" t="s">
        <v>1138</v>
      </c>
      <c r="G3" t="s">
        <v>1143</v>
      </c>
      <c r="H3" s="42" t="s">
        <v>1143</v>
      </c>
    </row>
    <row r="4" spans="1:8" x14ac:dyDescent="0.35">
      <c r="A4">
        <v>102</v>
      </c>
      <c r="B4" t="s">
        <v>1144</v>
      </c>
      <c r="C4" t="s">
        <v>1145</v>
      </c>
      <c r="D4">
        <v>8903412283</v>
      </c>
      <c r="E4" t="s">
        <v>1140</v>
      </c>
      <c r="F4" t="s">
        <v>1138</v>
      </c>
      <c r="G4">
        <v>12345678</v>
      </c>
      <c r="H4" s="42">
        <v>38079</v>
      </c>
    </row>
    <row r="5" spans="1:8" x14ac:dyDescent="0.35">
      <c r="A5">
        <v>104</v>
      </c>
      <c r="B5" t="s">
        <v>1146</v>
      </c>
      <c r="C5" t="s">
        <v>1147</v>
      </c>
      <c r="D5">
        <v>7903412283</v>
      </c>
      <c r="E5" t="s">
        <v>1148</v>
      </c>
      <c r="F5" t="s">
        <v>1138</v>
      </c>
      <c r="G5">
        <v>12345789</v>
      </c>
      <c r="H5" s="42">
        <v>39238</v>
      </c>
    </row>
    <row r="6" spans="1:8" x14ac:dyDescent="0.35">
      <c r="A6">
        <v>108</v>
      </c>
      <c r="B6" t="s">
        <v>1149</v>
      </c>
      <c r="C6" t="s">
        <v>1150</v>
      </c>
      <c r="D6">
        <v>9625076211</v>
      </c>
      <c r="E6" t="s">
        <v>1151</v>
      </c>
      <c r="F6" t="s">
        <v>1138</v>
      </c>
      <c r="G6">
        <v>54326543</v>
      </c>
      <c r="H6" s="42">
        <v>38363</v>
      </c>
    </row>
    <row r="7" spans="1:8" x14ac:dyDescent="0.35">
      <c r="A7">
        <v>103</v>
      </c>
      <c r="B7" t="s">
        <v>1152</v>
      </c>
      <c r="C7" t="s">
        <v>1153</v>
      </c>
      <c r="D7">
        <v>7903412283</v>
      </c>
      <c r="E7" t="s">
        <v>1154</v>
      </c>
      <c r="F7" t="s">
        <v>1138</v>
      </c>
      <c r="G7">
        <v>12345678</v>
      </c>
      <c r="H7" s="42">
        <v>38141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232F3A4DE9EEE4CB5A2246A1130E932" ma:contentTypeVersion="4" ma:contentTypeDescription="Create a new document." ma:contentTypeScope="" ma:versionID="00e0ae4a1ff7d7485a07667df4dd9be3">
  <xsd:schema xmlns:xsd="http://www.w3.org/2001/XMLSchema" xmlns:xs="http://www.w3.org/2001/XMLSchema" xmlns:p="http://schemas.microsoft.com/office/2006/metadata/properties" xmlns:ns3="a3e47812-5c2e-417a-86b3-3c6c63a6e52c" targetNamespace="http://schemas.microsoft.com/office/2006/metadata/properties" ma:root="true" ma:fieldsID="abc41d059ba7b9550b6a73db3b358646" ns3:_="">
    <xsd:import namespace="a3e47812-5c2e-417a-86b3-3c6c63a6e52c"/>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e47812-5c2e-417a-86b3-3c6c63a6e52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6AE0EDB-50A2-4CE1-B157-FC05E01831B6}">
  <ds:schemaRefs>
    <ds:schemaRef ds:uri="http://schemas.microsoft.com/office/infopath/2007/PartnerControls"/>
    <ds:schemaRef ds:uri="http://purl.org/dc/dcmitype/"/>
    <ds:schemaRef ds:uri="http://purl.org/dc/elements/1.1/"/>
    <ds:schemaRef ds:uri="http://schemas.openxmlformats.org/package/2006/metadata/core-properties"/>
    <ds:schemaRef ds:uri="http://schemas.microsoft.com/office/2006/metadata/properties"/>
    <ds:schemaRef ds:uri="http://schemas.microsoft.com/office/2006/documentManagement/types"/>
    <ds:schemaRef ds:uri="http://purl.org/dc/terms/"/>
    <ds:schemaRef ds:uri="a3e47812-5c2e-417a-86b3-3c6c63a6e52c"/>
    <ds:schemaRef ds:uri="http://www.w3.org/XML/1998/namespace"/>
  </ds:schemaRefs>
</ds:datastoreItem>
</file>

<file path=customXml/itemProps2.xml><?xml version="1.0" encoding="utf-8"?>
<ds:datastoreItem xmlns:ds="http://schemas.openxmlformats.org/officeDocument/2006/customXml" ds:itemID="{5D2D1176-7B4E-454F-AB32-4A1B081D38CA}">
  <ds:schemaRefs>
    <ds:schemaRef ds:uri="http://schemas.microsoft.com/sharepoint/v3/contenttype/forms"/>
  </ds:schemaRefs>
</ds:datastoreItem>
</file>

<file path=customXml/itemProps3.xml><?xml version="1.0" encoding="utf-8"?>
<ds:datastoreItem xmlns:ds="http://schemas.openxmlformats.org/officeDocument/2006/customXml" ds:itemID="{C3CDEEB1-97A2-4B27-8387-77D0126797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e47812-5c2e-417a-86b3-3c6c63a6e52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ABOUT</vt:lpstr>
      <vt:lpstr>SALEMAN</vt:lpstr>
      <vt:lpstr>PRODUCT</vt:lpstr>
      <vt:lpstr>DASHBOARD</vt:lpstr>
      <vt:lpstr>Home</vt:lpstr>
      <vt:lpstr>Sheet3</vt:lpstr>
      <vt:lpstr>Sheet2</vt:lpstr>
      <vt:lpstr>FROM Registration</vt:lpstr>
      <vt:lpstr>Sheet1</vt:lpstr>
      <vt:lpstr>DATABASE FROM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2022-10-16T15:00:32Z</dcterms:created>
  <dcterms:modified xsi:type="dcterms:W3CDTF">2022-11-11T04:25:51Z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0x010100C232F3A4DE9EEE4CB5A2246A1130E932</vt:lpwstr>
  </property>
</Properties>
</file>